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xml"/>
  <Override PartName="/xl/charts/chart5.xml" ContentType="application/vnd.openxmlformats-officedocument.drawingml.chart+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drawings/drawing11.xml" ContentType="application/vnd.openxmlformats-officedocument.drawing+xml"/>
  <Override PartName="/xl/charts/chart9.xml" ContentType="application/vnd.openxmlformats-officedocument.drawingml.chart+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drawings/drawing15.xml" ContentType="application/vnd.openxmlformats-officedocument.drawing+xml"/>
  <Override PartName="/xl/charts/chart13.xml" ContentType="application/vnd.openxmlformats-officedocument.drawingml.chart+xml"/>
  <Override PartName="/xl/drawings/drawing16.xml" ContentType="application/vnd.openxmlformats-officedocument.drawing+xml"/>
  <Override PartName="/xl/charts/chart14.xml" ContentType="application/vnd.openxmlformats-officedocument.drawingml.chart+xml"/>
  <Override PartName="/xl/drawings/drawing17.xml" ContentType="application/vnd.openxmlformats-officedocument.drawing+xml"/>
  <Override PartName="/xl/charts/chart15.xml" ContentType="application/vnd.openxmlformats-officedocument.drawingml.chart+xml"/>
  <Override PartName="/xl/drawings/drawing18.xml" ContentType="application/vnd.openxmlformats-officedocument.drawing+xml"/>
  <Override PartName="/xl/charts/chart16.xml" ContentType="application/vnd.openxmlformats-officedocument.drawingml.chart+xml"/>
  <Override PartName="/xl/drawings/drawing19.xml" ContentType="application/vnd.openxmlformats-officedocument.drawing+xml"/>
  <Override PartName="/xl/charts/chart17.xml" ContentType="application/vnd.openxmlformats-officedocument.drawingml.chart+xml"/>
  <Override PartName="/xl/drawings/drawing20.xml" ContentType="application/vnd.openxmlformats-officedocument.drawing+xml"/>
  <Override PartName="/xl/charts/chart18.xml" ContentType="application/vnd.openxmlformats-officedocument.drawingml.chart+xml"/>
  <Override PartName="/xl/drawings/drawing21.xml" ContentType="application/vnd.openxmlformats-officedocument.drawing+xml"/>
  <Override PartName="/xl/charts/chart1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filterPrivacy="1" defaultThemeVersion="124226"/>
  <xr:revisionPtr revIDLastSave="0" documentId="13_ncr:1_{151EBDE7-275D-4CCB-B12A-26BF7D39888F}" xr6:coauthVersionLast="47" xr6:coauthVersionMax="47" xr10:uidLastSave="{00000000-0000-0000-0000-000000000000}"/>
  <bookViews>
    <workbookView xWindow="11424" yWindow="0" windowWidth="11712" windowHeight="13776" tabRatio="797" xr2:uid="{00000000-000D-0000-FFFF-FFFF00000000}"/>
  </bookViews>
  <sheets>
    <sheet name="표지" sheetId="345" r:id="rId1"/>
    <sheet name="자산목록" sheetId="328" r:id="rId2"/>
    <sheet name="ChkList" sheetId="6" r:id="rId3"/>
    <sheet name="통계" sheetId="7" r:id="rId4"/>
    <sheet name="항목별 통계" sheetId="8" r:id="rId5"/>
    <sheet name="U_001" sheetId="342" r:id="rId6"/>
    <sheet name="U_002" sheetId="346" r:id="rId7"/>
    <sheet name="U_003" sheetId="350" r:id="rId8"/>
    <sheet name="U_004" sheetId="348" r:id="rId9"/>
    <sheet name="U_005" sheetId="349" r:id="rId10"/>
    <sheet name="U_006" sheetId="351" r:id="rId11"/>
    <sheet name="U_007" sheetId="352" r:id="rId12"/>
    <sheet name="U_008" sheetId="353" r:id="rId13"/>
    <sheet name="U_009" sheetId="354" r:id="rId14"/>
    <sheet name="U_010" sheetId="355" r:id="rId15"/>
    <sheet name="U_011" sheetId="356" r:id="rId16"/>
    <sheet name="U_012" sheetId="357" r:id="rId17"/>
    <sheet name="U_013" sheetId="358" r:id="rId18"/>
    <sheet name="U_014" sheetId="359" r:id="rId19"/>
    <sheet name="U_015" sheetId="360" r:id="rId20"/>
    <sheet name="U_016" sheetId="361" r:id="rId21"/>
    <sheet name="U_017" sheetId="362" r:id="rId22"/>
    <sheet name="U_018" sheetId="363" r:id="rId23"/>
  </sheets>
  <definedNames>
    <definedName name="_xlnm._FilterDatabase" localSheetId="5" hidden="1">U_001!$A$19:$O$59</definedName>
    <definedName name="_xlnm._FilterDatabase" localSheetId="6" hidden="1">U_002!$A$19:$O$59</definedName>
    <definedName name="_xlnm._FilterDatabase" localSheetId="7" hidden="1">U_003!$A$19:$O$59</definedName>
    <definedName name="_xlnm._FilterDatabase" localSheetId="8" hidden="1">U_004!$A$19:$O$59</definedName>
    <definedName name="_xlnm._FilterDatabase" localSheetId="9" hidden="1">U_005!$A$19:$O$59</definedName>
    <definedName name="_xlnm._FilterDatabase" localSheetId="10" hidden="1">U_006!$A$19:$O$59</definedName>
    <definedName name="_xlnm._FilterDatabase" localSheetId="11" hidden="1">U_007!$A$19:$O$59</definedName>
    <definedName name="_xlnm._FilterDatabase" localSheetId="12" hidden="1">U_008!$A$19:$O$59</definedName>
    <definedName name="_xlnm._FilterDatabase" localSheetId="13" hidden="1">U_009!$A$19:$O$59</definedName>
    <definedName name="_xlnm._FilterDatabase" localSheetId="14" hidden="1">U_010!$A$19:$O$59</definedName>
    <definedName name="_xlnm._FilterDatabase" localSheetId="15" hidden="1">U_011!$A$19:$O$59</definedName>
    <definedName name="_xlnm._FilterDatabase" localSheetId="16" hidden="1">U_012!$A$19:$O$59</definedName>
    <definedName name="_xlnm._FilterDatabase" localSheetId="17" hidden="1">U_013!$A$19:$O$59</definedName>
    <definedName name="_xlnm._FilterDatabase" localSheetId="18" hidden="1">U_014!$A$19:$O$59</definedName>
    <definedName name="_xlnm._FilterDatabase" localSheetId="19" hidden="1">U_015!$A$19:$O$59</definedName>
    <definedName name="_xlnm._FilterDatabase" localSheetId="20" hidden="1">U_016!$A$19:$O$59</definedName>
    <definedName name="_xlnm._FilterDatabase" localSheetId="21" hidden="1">U_017!$A$19:$O$59</definedName>
    <definedName name="_xlnm._FilterDatabase" localSheetId="22" hidden="1">U_018!$A$19:$O$59</definedName>
    <definedName name="_xlnm._FilterDatabase" localSheetId="1" hidden="1">자산목록!#REF!</definedName>
    <definedName name="_xlnm._FilterDatabase" localSheetId="4" hidden="1">'항목별 통계'!$F$4:$J$45</definedName>
    <definedName name="_xlnm.Print_Area" localSheetId="0">표지!$A$1:$Q$55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7" l="1"/>
  <c r="A57" i="7"/>
  <c r="A55" i="7"/>
  <c r="A53" i="7"/>
  <c r="A51" i="7"/>
  <c r="A49" i="7"/>
  <c r="J59" i="363"/>
  <c r="M59" i="363" s="1"/>
  <c r="I59" i="363"/>
  <c r="D59" i="363"/>
  <c r="C59" i="363"/>
  <c r="J58" i="363"/>
  <c r="M58" i="363" s="1"/>
  <c r="I58" i="363"/>
  <c r="N58" i="363" s="1"/>
  <c r="D58" i="363"/>
  <c r="C58" i="363"/>
  <c r="C57" i="363"/>
  <c r="A57" i="363"/>
  <c r="J56" i="363"/>
  <c r="M56" i="363" s="1"/>
  <c r="I56" i="363"/>
  <c r="N56" i="363" s="1"/>
  <c r="D56" i="363"/>
  <c r="C56" i="363"/>
  <c r="J55" i="363"/>
  <c r="M55" i="363" s="1"/>
  <c r="I55" i="363"/>
  <c r="N55" i="363" s="1"/>
  <c r="D55" i="363"/>
  <c r="C55" i="363"/>
  <c r="N54" i="363"/>
  <c r="J54" i="363"/>
  <c r="L54" i="363" s="1"/>
  <c r="I54" i="363"/>
  <c r="D54" i="363"/>
  <c r="C54" i="363"/>
  <c r="J53" i="363"/>
  <c r="M53" i="363" s="1"/>
  <c r="I53" i="363"/>
  <c r="N53" i="363" s="1"/>
  <c r="D53" i="363"/>
  <c r="C53" i="363"/>
  <c r="N52" i="363"/>
  <c r="M52" i="363"/>
  <c r="L52" i="363"/>
  <c r="J52" i="363"/>
  <c r="I52" i="363"/>
  <c r="D52" i="363"/>
  <c r="C52" i="363"/>
  <c r="N51" i="363"/>
  <c r="M51" i="363"/>
  <c r="J51" i="363"/>
  <c r="L51" i="363" s="1"/>
  <c r="I51" i="363"/>
  <c r="D51" i="363"/>
  <c r="C51" i="363"/>
  <c r="J50" i="363"/>
  <c r="M50" i="363" s="1"/>
  <c r="I50" i="363"/>
  <c r="N50" i="363" s="1"/>
  <c r="D50" i="363"/>
  <c r="C50" i="363"/>
  <c r="J49" i="363"/>
  <c r="N49" i="363" s="1"/>
  <c r="I49" i="363"/>
  <c r="D49" i="363"/>
  <c r="C49" i="363"/>
  <c r="L48" i="363"/>
  <c r="J48" i="363"/>
  <c r="M48" i="363" s="1"/>
  <c r="I48" i="363"/>
  <c r="N48" i="363" s="1"/>
  <c r="D48" i="363"/>
  <c r="C48" i="363"/>
  <c r="J47" i="363"/>
  <c r="M47" i="363" s="1"/>
  <c r="I47" i="363"/>
  <c r="N47" i="363" s="1"/>
  <c r="D47" i="363"/>
  <c r="C47" i="363"/>
  <c r="L46" i="363"/>
  <c r="J46" i="363"/>
  <c r="M46" i="363" s="1"/>
  <c r="I46" i="363"/>
  <c r="N46" i="363" s="1"/>
  <c r="D46" i="363"/>
  <c r="C46" i="363"/>
  <c r="N45" i="363"/>
  <c r="M45" i="363"/>
  <c r="L45" i="363"/>
  <c r="J45" i="363"/>
  <c r="I45" i="363"/>
  <c r="D45" i="363"/>
  <c r="C45" i="363"/>
  <c r="N44" i="363"/>
  <c r="L44" i="363"/>
  <c r="J44" i="363"/>
  <c r="I44" i="363"/>
  <c r="M44" i="363" s="1"/>
  <c r="D44" i="363"/>
  <c r="C44" i="363"/>
  <c r="J43" i="363"/>
  <c r="N43" i="363" s="1"/>
  <c r="I43" i="363"/>
  <c r="D43" i="363"/>
  <c r="C43" i="363"/>
  <c r="N42" i="363"/>
  <c r="M42" i="363"/>
  <c r="L42" i="363"/>
  <c r="J42" i="363"/>
  <c r="I42" i="363"/>
  <c r="D42" i="363"/>
  <c r="C42" i="363"/>
  <c r="C41" i="363"/>
  <c r="A41" i="363"/>
  <c r="J40" i="363"/>
  <c r="N40" i="363" s="1"/>
  <c r="I40" i="363"/>
  <c r="D40" i="363"/>
  <c r="C40" i="363"/>
  <c r="N39" i="363"/>
  <c r="M39" i="363"/>
  <c r="L39" i="363"/>
  <c r="J39" i="363"/>
  <c r="I39" i="363"/>
  <c r="D39" i="363"/>
  <c r="C39" i="363"/>
  <c r="J38" i="363"/>
  <c r="M38" i="363" s="1"/>
  <c r="I38" i="363"/>
  <c r="N38" i="363" s="1"/>
  <c r="D38" i="363"/>
  <c r="C38" i="363"/>
  <c r="J37" i="363"/>
  <c r="M37" i="363" s="1"/>
  <c r="I37" i="363"/>
  <c r="N37" i="363" s="1"/>
  <c r="D37" i="363"/>
  <c r="C37" i="363"/>
  <c r="J36" i="363"/>
  <c r="M36" i="363" s="1"/>
  <c r="I36" i="363"/>
  <c r="N36" i="363" s="1"/>
  <c r="D36" i="363"/>
  <c r="C36" i="363"/>
  <c r="N35" i="363"/>
  <c r="J35" i="363"/>
  <c r="L35" i="363" s="1"/>
  <c r="I35" i="363"/>
  <c r="D35" i="363"/>
  <c r="C35" i="363"/>
  <c r="J34" i="363"/>
  <c r="M34" i="363" s="1"/>
  <c r="I34" i="363"/>
  <c r="N34" i="363" s="1"/>
  <c r="D34" i="363"/>
  <c r="C34" i="363"/>
  <c r="N33" i="363"/>
  <c r="M33" i="363"/>
  <c r="L33" i="363"/>
  <c r="J33" i="363"/>
  <c r="I33" i="363"/>
  <c r="D33" i="363"/>
  <c r="C33" i="363"/>
  <c r="N32" i="363"/>
  <c r="M32" i="363"/>
  <c r="L32" i="363"/>
  <c r="J32" i="363"/>
  <c r="I32" i="363"/>
  <c r="D32" i="363"/>
  <c r="C32" i="363"/>
  <c r="J31" i="363"/>
  <c r="M31" i="363" s="1"/>
  <c r="I31" i="363"/>
  <c r="N31" i="363" s="1"/>
  <c r="D31" i="363"/>
  <c r="C31" i="363"/>
  <c r="J30" i="363"/>
  <c r="M30" i="363" s="1"/>
  <c r="I30" i="363"/>
  <c r="N30" i="363" s="1"/>
  <c r="D30" i="363"/>
  <c r="C30" i="363"/>
  <c r="J29" i="363"/>
  <c r="L29" i="363" s="1"/>
  <c r="I29" i="363"/>
  <c r="D29" i="363"/>
  <c r="C29" i="363"/>
  <c r="J28" i="363"/>
  <c r="M28" i="363" s="1"/>
  <c r="I28" i="363"/>
  <c r="N28" i="363" s="1"/>
  <c r="D28" i="363"/>
  <c r="C28" i="363"/>
  <c r="J27" i="363"/>
  <c r="M27" i="363" s="1"/>
  <c r="I27" i="363"/>
  <c r="D27" i="363"/>
  <c r="C27" i="363"/>
  <c r="C26" i="363"/>
  <c r="A26" i="363"/>
  <c r="J25" i="363"/>
  <c r="M25" i="363" s="1"/>
  <c r="I25" i="363"/>
  <c r="D25" i="363"/>
  <c r="C25" i="363"/>
  <c r="J24" i="363"/>
  <c r="M24" i="363" s="1"/>
  <c r="I24" i="363"/>
  <c r="N24" i="363" s="1"/>
  <c r="D24" i="363"/>
  <c r="C24" i="363"/>
  <c r="N23" i="363"/>
  <c r="M23" i="363"/>
  <c r="J23" i="363"/>
  <c r="L23" i="363" s="1"/>
  <c r="I23" i="363"/>
  <c r="D23" i="363"/>
  <c r="C23" i="363"/>
  <c r="N22" i="363"/>
  <c r="M22" i="363"/>
  <c r="L22" i="363"/>
  <c r="J22" i="363"/>
  <c r="I22" i="363"/>
  <c r="D22" i="363"/>
  <c r="C22" i="363"/>
  <c r="J21" i="363"/>
  <c r="L21" i="363" s="1"/>
  <c r="I21" i="363"/>
  <c r="D21" i="363"/>
  <c r="C21" i="363"/>
  <c r="C20" i="363"/>
  <c r="A20" i="363"/>
  <c r="C15" i="363"/>
  <c r="C14" i="363"/>
  <c r="C13" i="363"/>
  <c r="C12" i="363"/>
  <c r="E4" i="363"/>
  <c r="I6" i="363" s="1"/>
  <c r="J59" i="362"/>
  <c r="M59" i="362" s="1"/>
  <c r="I59" i="362"/>
  <c r="N59" i="362" s="1"/>
  <c r="D59" i="362"/>
  <c r="C59" i="362"/>
  <c r="J58" i="362"/>
  <c r="M58" i="362" s="1"/>
  <c r="I58" i="362"/>
  <c r="N58" i="362" s="1"/>
  <c r="D58" i="362"/>
  <c r="C58" i="362"/>
  <c r="C57" i="362"/>
  <c r="A57" i="362"/>
  <c r="J56" i="362"/>
  <c r="M56" i="362" s="1"/>
  <c r="I56" i="362"/>
  <c r="N56" i="362" s="1"/>
  <c r="D56" i="362"/>
  <c r="C56" i="362"/>
  <c r="J55" i="362"/>
  <c r="M55" i="362" s="1"/>
  <c r="I55" i="362"/>
  <c r="N55" i="362" s="1"/>
  <c r="D55" i="362"/>
  <c r="C55" i="362"/>
  <c r="N54" i="362"/>
  <c r="M54" i="362"/>
  <c r="J54" i="362"/>
  <c r="L54" i="362" s="1"/>
  <c r="I54" i="362"/>
  <c r="D54" i="362"/>
  <c r="C54" i="362"/>
  <c r="N53" i="362"/>
  <c r="J53" i="362"/>
  <c r="M53" i="362" s="1"/>
  <c r="I53" i="362"/>
  <c r="D53" i="362"/>
  <c r="C53" i="362"/>
  <c r="J52" i="362"/>
  <c r="N52" i="362" s="1"/>
  <c r="I52" i="362"/>
  <c r="D52" i="362"/>
  <c r="C52" i="362"/>
  <c r="N51" i="362"/>
  <c r="M51" i="362"/>
  <c r="L51" i="362"/>
  <c r="J51" i="362"/>
  <c r="I51" i="362"/>
  <c r="D51" i="362"/>
  <c r="C51" i="362"/>
  <c r="J50" i="362"/>
  <c r="M50" i="362" s="1"/>
  <c r="I50" i="362"/>
  <c r="N50" i="362" s="1"/>
  <c r="D50" i="362"/>
  <c r="C50" i="362"/>
  <c r="L49" i="362"/>
  <c r="J49" i="362"/>
  <c r="M49" i="362" s="1"/>
  <c r="I49" i="362"/>
  <c r="N49" i="362" s="1"/>
  <c r="D49" i="362"/>
  <c r="C49" i="362"/>
  <c r="J48" i="362"/>
  <c r="M48" i="362" s="1"/>
  <c r="I48" i="362"/>
  <c r="N48" i="362" s="1"/>
  <c r="D48" i="362"/>
  <c r="C48" i="362"/>
  <c r="N47" i="362"/>
  <c r="L47" i="362"/>
  <c r="J47" i="362"/>
  <c r="M47" i="362" s="1"/>
  <c r="I47" i="362"/>
  <c r="D47" i="362"/>
  <c r="C47" i="362"/>
  <c r="J46" i="362"/>
  <c r="M46" i="362" s="1"/>
  <c r="I46" i="362"/>
  <c r="N46" i="362" s="1"/>
  <c r="D46" i="362"/>
  <c r="C46" i="362"/>
  <c r="N45" i="362"/>
  <c r="M45" i="362"/>
  <c r="L45" i="362"/>
  <c r="J45" i="362"/>
  <c r="I45" i="362"/>
  <c r="D45" i="362"/>
  <c r="C45" i="362"/>
  <c r="N44" i="362"/>
  <c r="M44" i="362"/>
  <c r="J44" i="362"/>
  <c r="L44" i="362" s="1"/>
  <c r="I44" i="362"/>
  <c r="D44" i="362"/>
  <c r="C44" i="362"/>
  <c r="J43" i="362"/>
  <c r="M43" i="362" s="1"/>
  <c r="I43" i="362"/>
  <c r="N43" i="362" s="1"/>
  <c r="D43" i="362"/>
  <c r="C43" i="362"/>
  <c r="J42" i="362"/>
  <c r="N42" i="362" s="1"/>
  <c r="I42" i="362"/>
  <c r="D42" i="362"/>
  <c r="C42" i="362"/>
  <c r="C41" i="362"/>
  <c r="A41" i="362"/>
  <c r="J40" i="362"/>
  <c r="M40" i="362" s="1"/>
  <c r="I40" i="362"/>
  <c r="N40" i="362" s="1"/>
  <c r="D40" i="362"/>
  <c r="C40" i="362"/>
  <c r="J39" i="362"/>
  <c r="N39" i="362" s="1"/>
  <c r="I39" i="362"/>
  <c r="D39" i="362"/>
  <c r="C39" i="362"/>
  <c r="J38" i="362"/>
  <c r="M38" i="362" s="1"/>
  <c r="I38" i="362"/>
  <c r="N38" i="362" s="1"/>
  <c r="D38" i="362"/>
  <c r="C38" i="362"/>
  <c r="J37" i="362"/>
  <c r="M37" i="362" s="1"/>
  <c r="I37" i="362"/>
  <c r="N37" i="362" s="1"/>
  <c r="D37" i="362"/>
  <c r="C37" i="362"/>
  <c r="L36" i="362"/>
  <c r="J36" i="362"/>
  <c r="M36" i="362" s="1"/>
  <c r="I36" i="362"/>
  <c r="N36" i="362" s="1"/>
  <c r="D36" i="362"/>
  <c r="C36" i="362"/>
  <c r="N35" i="362"/>
  <c r="M35" i="362"/>
  <c r="J35" i="362"/>
  <c r="L35" i="362" s="1"/>
  <c r="I35" i="362"/>
  <c r="D35" i="362"/>
  <c r="C35" i="362"/>
  <c r="N34" i="362"/>
  <c r="L34" i="362"/>
  <c r="J34" i="362"/>
  <c r="M34" i="362" s="1"/>
  <c r="I34" i="362"/>
  <c r="D34" i="362"/>
  <c r="C34" i="362"/>
  <c r="J33" i="362"/>
  <c r="N33" i="362" s="1"/>
  <c r="I33" i="362"/>
  <c r="D33" i="362"/>
  <c r="C33" i="362"/>
  <c r="N32" i="362"/>
  <c r="M32" i="362"/>
  <c r="L32" i="362"/>
  <c r="J32" i="362"/>
  <c r="I32" i="362"/>
  <c r="D32" i="362"/>
  <c r="C32" i="362"/>
  <c r="J31" i="362"/>
  <c r="M31" i="362" s="1"/>
  <c r="I31" i="362"/>
  <c r="N31" i="362" s="1"/>
  <c r="D31" i="362"/>
  <c r="C31" i="362"/>
  <c r="L30" i="362"/>
  <c r="J30" i="362"/>
  <c r="M30" i="362" s="1"/>
  <c r="I30" i="362"/>
  <c r="N30" i="362" s="1"/>
  <c r="D30" i="362"/>
  <c r="C30" i="362"/>
  <c r="J29" i="362"/>
  <c r="M29" i="362" s="1"/>
  <c r="I29" i="362"/>
  <c r="N29" i="362" s="1"/>
  <c r="D29" i="362"/>
  <c r="C29" i="362"/>
  <c r="N28" i="362"/>
  <c r="L28" i="362"/>
  <c r="J28" i="362"/>
  <c r="M28" i="362" s="1"/>
  <c r="I28" i="362"/>
  <c r="D28" i="362"/>
  <c r="C28" i="362"/>
  <c r="J27" i="362"/>
  <c r="M27" i="362" s="1"/>
  <c r="I27" i="362"/>
  <c r="N27" i="362" s="1"/>
  <c r="D27" i="362"/>
  <c r="C27" i="362"/>
  <c r="C26" i="362"/>
  <c r="A26" i="362"/>
  <c r="N25" i="362"/>
  <c r="L25" i="362"/>
  <c r="J25" i="362"/>
  <c r="M25" i="362" s="1"/>
  <c r="I25" i="362"/>
  <c r="D25" i="362"/>
  <c r="C25" i="362"/>
  <c r="J24" i="362"/>
  <c r="M24" i="362" s="1"/>
  <c r="I24" i="362"/>
  <c r="N24" i="362" s="1"/>
  <c r="D24" i="362"/>
  <c r="C24" i="362"/>
  <c r="N23" i="362"/>
  <c r="M23" i="362"/>
  <c r="L23" i="362"/>
  <c r="J23" i="362"/>
  <c r="I23" i="362"/>
  <c r="D23" i="362"/>
  <c r="C23" i="362"/>
  <c r="N22" i="362"/>
  <c r="M22" i="362"/>
  <c r="J22" i="362"/>
  <c r="L22" i="362" s="1"/>
  <c r="I22" i="362"/>
  <c r="D22" i="362"/>
  <c r="C22" i="362"/>
  <c r="L21" i="362"/>
  <c r="J21" i="362"/>
  <c r="M21" i="362" s="1"/>
  <c r="I21" i="362"/>
  <c r="N21" i="362" s="1"/>
  <c r="D21" i="362"/>
  <c r="C21" i="362"/>
  <c r="C20" i="362"/>
  <c r="A20" i="362"/>
  <c r="C15" i="362"/>
  <c r="C14" i="362"/>
  <c r="C13" i="362"/>
  <c r="C12" i="362"/>
  <c r="E4" i="362"/>
  <c r="I6" i="362" s="1"/>
  <c r="J59" i="361"/>
  <c r="M59" i="361" s="1"/>
  <c r="I59" i="361"/>
  <c r="N59" i="361" s="1"/>
  <c r="D59" i="361"/>
  <c r="C59" i="361"/>
  <c r="J58" i="361"/>
  <c r="M58" i="361" s="1"/>
  <c r="I58" i="361"/>
  <c r="N58" i="361" s="1"/>
  <c r="D58" i="361"/>
  <c r="C58" i="361"/>
  <c r="C57" i="361"/>
  <c r="A57" i="361"/>
  <c r="J56" i="361"/>
  <c r="M56" i="361" s="1"/>
  <c r="I56" i="361"/>
  <c r="N56" i="361" s="1"/>
  <c r="D56" i="361"/>
  <c r="C56" i="361"/>
  <c r="J55" i="361"/>
  <c r="M55" i="361" s="1"/>
  <c r="I55" i="361"/>
  <c r="N55" i="361" s="1"/>
  <c r="D55" i="361"/>
  <c r="C55" i="361"/>
  <c r="N54" i="361"/>
  <c r="M54" i="361"/>
  <c r="J54" i="361"/>
  <c r="L54" i="361" s="1"/>
  <c r="I54" i="361"/>
  <c r="D54" i="361"/>
  <c r="C54" i="361"/>
  <c r="N53" i="361"/>
  <c r="J53" i="361"/>
  <c r="M53" i="361" s="1"/>
  <c r="I53" i="361"/>
  <c r="D53" i="361"/>
  <c r="C53" i="361"/>
  <c r="J52" i="361"/>
  <c r="N52" i="361" s="1"/>
  <c r="I52" i="361"/>
  <c r="D52" i="361"/>
  <c r="C52" i="361"/>
  <c r="N51" i="361"/>
  <c r="M51" i="361"/>
  <c r="L51" i="361"/>
  <c r="J51" i="361"/>
  <c r="I51" i="361"/>
  <c r="D51" i="361"/>
  <c r="C51" i="361"/>
  <c r="J50" i="361"/>
  <c r="M50" i="361" s="1"/>
  <c r="I50" i="361"/>
  <c r="N50" i="361" s="1"/>
  <c r="D50" i="361"/>
  <c r="C50" i="361"/>
  <c r="L49" i="361"/>
  <c r="J49" i="361"/>
  <c r="M49" i="361" s="1"/>
  <c r="I49" i="361"/>
  <c r="N49" i="361" s="1"/>
  <c r="D49" i="361"/>
  <c r="C49" i="361"/>
  <c r="J48" i="361"/>
  <c r="M48" i="361" s="1"/>
  <c r="I48" i="361"/>
  <c r="N48" i="361" s="1"/>
  <c r="D48" i="361"/>
  <c r="C48" i="361"/>
  <c r="N47" i="361"/>
  <c r="L47" i="361"/>
  <c r="J47" i="361"/>
  <c r="M47" i="361" s="1"/>
  <c r="I47" i="361"/>
  <c r="D47" i="361"/>
  <c r="C47" i="361"/>
  <c r="J46" i="361"/>
  <c r="M46" i="361" s="1"/>
  <c r="I46" i="361"/>
  <c r="N46" i="361" s="1"/>
  <c r="D46" i="361"/>
  <c r="C46" i="361"/>
  <c r="N45" i="361"/>
  <c r="M45" i="361"/>
  <c r="L45" i="361"/>
  <c r="J45" i="361"/>
  <c r="I45" i="361"/>
  <c r="D45" i="361"/>
  <c r="C45" i="361"/>
  <c r="N44" i="361"/>
  <c r="M44" i="361"/>
  <c r="J44" i="361"/>
  <c r="L44" i="361" s="1"/>
  <c r="I44" i="361"/>
  <c r="D44" i="361"/>
  <c r="C44" i="361"/>
  <c r="L43" i="361"/>
  <c r="J43" i="361"/>
  <c r="M43" i="361" s="1"/>
  <c r="I43" i="361"/>
  <c r="N43" i="361" s="1"/>
  <c r="D43" i="361"/>
  <c r="C43" i="361"/>
  <c r="J42" i="361"/>
  <c r="N42" i="361" s="1"/>
  <c r="I42" i="361"/>
  <c r="D42" i="361"/>
  <c r="C42" i="361"/>
  <c r="C41" i="361"/>
  <c r="A41" i="361"/>
  <c r="L40" i="361"/>
  <c r="J40" i="361"/>
  <c r="M40" i="361" s="1"/>
  <c r="I40" i="361"/>
  <c r="N40" i="361" s="1"/>
  <c r="D40" i="361"/>
  <c r="C40" i="361"/>
  <c r="J39" i="361"/>
  <c r="N39" i="361" s="1"/>
  <c r="I39" i="361"/>
  <c r="D39" i="361"/>
  <c r="C39" i="361"/>
  <c r="J38" i="361"/>
  <c r="M38" i="361" s="1"/>
  <c r="I38" i="361"/>
  <c r="N38" i="361" s="1"/>
  <c r="D38" i="361"/>
  <c r="C38" i="361"/>
  <c r="J37" i="361"/>
  <c r="M37" i="361" s="1"/>
  <c r="I37" i="361"/>
  <c r="N37" i="361" s="1"/>
  <c r="D37" i="361"/>
  <c r="C37" i="361"/>
  <c r="L36" i="361"/>
  <c r="J36" i="361"/>
  <c r="M36" i="361" s="1"/>
  <c r="I36" i="361"/>
  <c r="N36" i="361" s="1"/>
  <c r="D36" i="361"/>
  <c r="C36" i="361"/>
  <c r="M35" i="361"/>
  <c r="J35" i="361"/>
  <c r="L35" i="361" s="1"/>
  <c r="I35" i="361"/>
  <c r="D35" i="361"/>
  <c r="C35" i="361"/>
  <c r="N34" i="361"/>
  <c r="J34" i="361"/>
  <c r="M34" i="361" s="1"/>
  <c r="I34" i="361"/>
  <c r="D34" i="361"/>
  <c r="C34" i="361"/>
  <c r="J33" i="361"/>
  <c r="N33" i="361" s="1"/>
  <c r="I33" i="361"/>
  <c r="D33" i="361"/>
  <c r="C33" i="361"/>
  <c r="N32" i="361"/>
  <c r="M32" i="361"/>
  <c r="L32" i="361"/>
  <c r="J32" i="361"/>
  <c r="I32" i="361"/>
  <c r="D32" i="361"/>
  <c r="C32" i="361"/>
  <c r="J31" i="361"/>
  <c r="M31" i="361" s="1"/>
  <c r="I31" i="361"/>
  <c r="N31" i="361" s="1"/>
  <c r="D31" i="361"/>
  <c r="C31" i="361"/>
  <c r="L30" i="361"/>
  <c r="J30" i="361"/>
  <c r="M30" i="361" s="1"/>
  <c r="I30" i="361"/>
  <c r="N30" i="361" s="1"/>
  <c r="D30" i="361"/>
  <c r="C30" i="361"/>
  <c r="M29" i="361"/>
  <c r="J29" i="361"/>
  <c r="L29" i="361" s="1"/>
  <c r="I29" i="361"/>
  <c r="N29" i="361" s="1"/>
  <c r="D29" i="361"/>
  <c r="C29" i="361"/>
  <c r="N28" i="361"/>
  <c r="L28" i="361"/>
  <c r="J28" i="361"/>
  <c r="M28" i="361" s="1"/>
  <c r="I28" i="361"/>
  <c r="D28" i="361"/>
  <c r="C28" i="361"/>
  <c r="J27" i="361"/>
  <c r="M27" i="361" s="1"/>
  <c r="I27" i="361"/>
  <c r="N27" i="361" s="1"/>
  <c r="D27" i="361"/>
  <c r="C27" i="361"/>
  <c r="C26" i="361"/>
  <c r="A26" i="361"/>
  <c r="N25" i="361"/>
  <c r="L25" i="361"/>
  <c r="J25" i="361"/>
  <c r="M25" i="361" s="1"/>
  <c r="I25" i="361"/>
  <c r="D25" i="361"/>
  <c r="C25" i="361"/>
  <c r="J24" i="361"/>
  <c r="M24" i="361" s="1"/>
  <c r="I24" i="361"/>
  <c r="N24" i="361" s="1"/>
  <c r="D24" i="361"/>
  <c r="C24" i="361"/>
  <c r="N23" i="361"/>
  <c r="L23" i="361"/>
  <c r="J23" i="361"/>
  <c r="I23" i="361"/>
  <c r="M23" i="361" s="1"/>
  <c r="D23" i="361"/>
  <c r="C23" i="361"/>
  <c r="N22" i="361"/>
  <c r="M22" i="361"/>
  <c r="J22" i="361"/>
  <c r="L22" i="361" s="1"/>
  <c r="I22" i="361"/>
  <c r="D22" i="361"/>
  <c r="C22" i="361"/>
  <c r="L21" i="361"/>
  <c r="J21" i="361"/>
  <c r="I21" i="361"/>
  <c r="N21" i="361" s="1"/>
  <c r="D21" i="361"/>
  <c r="C21" i="361"/>
  <c r="C20" i="361"/>
  <c r="A20" i="361"/>
  <c r="C15" i="361"/>
  <c r="C14" i="361"/>
  <c r="C13" i="361"/>
  <c r="C12" i="361"/>
  <c r="E4" i="361"/>
  <c r="I6" i="361" s="1"/>
  <c r="J59" i="360"/>
  <c r="L59" i="360" s="1"/>
  <c r="I59" i="360"/>
  <c r="D59" i="360"/>
  <c r="C59" i="360"/>
  <c r="N58" i="360"/>
  <c r="M58" i="360"/>
  <c r="L58" i="360"/>
  <c r="J58" i="360"/>
  <c r="I58" i="360"/>
  <c r="D58" i="360"/>
  <c r="C58" i="360"/>
  <c r="C57" i="360"/>
  <c r="A57" i="360"/>
  <c r="N56" i="360"/>
  <c r="M56" i="360"/>
  <c r="L56" i="360"/>
  <c r="J56" i="360"/>
  <c r="I56" i="360"/>
  <c r="D56" i="360"/>
  <c r="C56" i="360"/>
  <c r="N55" i="360"/>
  <c r="M55" i="360"/>
  <c r="L55" i="360"/>
  <c r="J55" i="360"/>
  <c r="I55" i="360"/>
  <c r="D55" i="360"/>
  <c r="C55" i="360"/>
  <c r="N54" i="360"/>
  <c r="M54" i="360"/>
  <c r="L54" i="360"/>
  <c r="J54" i="360"/>
  <c r="I54" i="360"/>
  <c r="D54" i="360"/>
  <c r="C54" i="360"/>
  <c r="N53" i="360"/>
  <c r="M53" i="360"/>
  <c r="L53" i="360"/>
  <c r="J53" i="360"/>
  <c r="I53" i="360"/>
  <c r="D53" i="360"/>
  <c r="C53" i="360"/>
  <c r="N52" i="360"/>
  <c r="M52" i="360"/>
  <c r="L52" i="360"/>
  <c r="J52" i="360"/>
  <c r="I52" i="360"/>
  <c r="D52" i="360"/>
  <c r="C52" i="360"/>
  <c r="N51" i="360"/>
  <c r="M51" i="360"/>
  <c r="L51" i="360"/>
  <c r="J51" i="360"/>
  <c r="I51" i="360"/>
  <c r="D51" i="360"/>
  <c r="C51" i="360"/>
  <c r="N50" i="360"/>
  <c r="M50" i="360"/>
  <c r="L50" i="360"/>
  <c r="J50" i="360"/>
  <c r="I50" i="360"/>
  <c r="D50" i="360"/>
  <c r="C50" i="360"/>
  <c r="N49" i="360"/>
  <c r="M49" i="360"/>
  <c r="L49" i="360"/>
  <c r="J49" i="360"/>
  <c r="I49" i="360"/>
  <c r="D49" i="360"/>
  <c r="C49" i="360"/>
  <c r="N48" i="360"/>
  <c r="M48" i="360"/>
  <c r="L48" i="360"/>
  <c r="J48" i="360"/>
  <c r="I48" i="360"/>
  <c r="D48" i="360"/>
  <c r="C48" i="360"/>
  <c r="N47" i="360"/>
  <c r="M47" i="360"/>
  <c r="L47" i="360"/>
  <c r="J47" i="360"/>
  <c r="I47" i="360"/>
  <c r="D47" i="360"/>
  <c r="C47" i="360"/>
  <c r="N46" i="360"/>
  <c r="M46" i="360"/>
  <c r="L46" i="360"/>
  <c r="J46" i="360"/>
  <c r="I46" i="360"/>
  <c r="D46" i="360"/>
  <c r="C46" i="360"/>
  <c r="N45" i="360"/>
  <c r="M45" i="360"/>
  <c r="L45" i="360"/>
  <c r="J45" i="360"/>
  <c r="I45" i="360"/>
  <c r="D45" i="360"/>
  <c r="C45" i="360"/>
  <c r="N44" i="360"/>
  <c r="M44" i="360"/>
  <c r="L44" i="360"/>
  <c r="J44" i="360"/>
  <c r="I44" i="360"/>
  <c r="D44" i="360"/>
  <c r="C44" i="360"/>
  <c r="N43" i="360"/>
  <c r="M43" i="360"/>
  <c r="L43" i="360"/>
  <c r="J43" i="360"/>
  <c r="I43" i="360"/>
  <c r="D43" i="360"/>
  <c r="C43" i="360"/>
  <c r="N42" i="360"/>
  <c r="M42" i="360"/>
  <c r="L42" i="360"/>
  <c r="J42" i="360"/>
  <c r="I42" i="360"/>
  <c r="D42" i="360"/>
  <c r="C42" i="360"/>
  <c r="C41" i="360"/>
  <c r="A41" i="360"/>
  <c r="N40" i="360"/>
  <c r="M40" i="360"/>
  <c r="L40" i="360"/>
  <c r="J40" i="360"/>
  <c r="I40" i="360"/>
  <c r="D40" i="360"/>
  <c r="C40" i="360"/>
  <c r="N39" i="360"/>
  <c r="M39" i="360"/>
  <c r="L39" i="360"/>
  <c r="J39" i="360"/>
  <c r="I39" i="360"/>
  <c r="D39" i="360"/>
  <c r="C39" i="360"/>
  <c r="N38" i="360"/>
  <c r="M38" i="360"/>
  <c r="L38" i="360"/>
  <c r="J38" i="360"/>
  <c r="I38" i="360"/>
  <c r="D38" i="360"/>
  <c r="C38" i="360"/>
  <c r="N37" i="360"/>
  <c r="M37" i="360"/>
  <c r="L37" i="360"/>
  <c r="J37" i="360"/>
  <c r="I37" i="360"/>
  <c r="D37" i="360"/>
  <c r="C37" i="360"/>
  <c r="N36" i="360"/>
  <c r="M36" i="360"/>
  <c r="L36" i="360"/>
  <c r="J36" i="360"/>
  <c r="I36" i="360"/>
  <c r="D36" i="360"/>
  <c r="C36" i="360"/>
  <c r="N35" i="360"/>
  <c r="M35" i="360"/>
  <c r="L35" i="360"/>
  <c r="J35" i="360"/>
  <c r="I35" i="360"/>
  <c r="D35" i="360"/>
  <c r="C35" i="360"/>
  <c r="N34" i="360"/>
  <c r="M34" i="360"/>
  <c r="L34" i="360"/>
  <c r="J34" i="360"/>
  <c r="I34" i="360"/>
  <c r="D34" i="360"/>
  <c r="C34" i="360"/>
  <c r="N33" i="360"/>
  <c r="M33" i="360"/>
  <c r="L33" i="360"/>
  <c r="J33" i="360"/>
  <c r="I33" i="360"/>
  <c r="D33" i="360"/>
  <c r="C33" i="360"/>
  <c r="N32" i="360"/>
  <c r="M32" i="360"/>
  <c r="L32" i="360"/>
  <c r="J32" i="360"/>
  <c r="I32" i="360"/>
  <c r="D32" i="360"/>
  <c r="C32" i="360"/>
  <c r="N31" i="360"/>
  <c r="M31" i="360"/>
  <c r="L31" i="360"/>
  <c r="J31" i="360"/>
  <c r="I31" i="360"/>
  <c r="D31" i="360"/>
  <c r="C31" i="360"/>
  <c r="N30" i="360"/>
  <c r="M30" i="360"/>
  <c r="L30" i="360"/>
  <c r="J30" i="360"/>
  <c r="I30" i="360"/>
  <c r="D30" i="360"/>
  <c r="C30" i="360"/>
  <c r="N29" i="360"/>
  <c r="M29" i="360"/>
  <c r="L29" i="360"/>
  <c r="J29" i="360"/>
  <c r="I29" i="360"/>
  <c r="D29" i="360"/>
  <c r="C29" i="360"/>
  <c r="N28" i="360"/>
  <c r="M28" i="360"/>
  <c r="L28" i="360"/>
  <c r="J28" i="360"/>
  <c r="I28" i="360"/>
  <c r="D28" i="360"/>
  <c r="C28" i="360"/>
  <c r="N27" i="360"/>
  <c r="M27" i="360"/>
  <c r="L27" i="360"/>
  <c r="J27" i="360"/>
  <c r="I27" i="360"/>
  <c r="D27" i="360"/>
  <c r="C27" i="360"/>
  <c r="C26" i="360"/>
  <c r="A26" i="360"/>
  <c r="N25" i="360"/>
  <c r="M25" i="360"/>
  <c r="L25" i="360"/>
  <c r="J25" i="360"/>
  <c r="I25" i="360"/>
  <c r="D25" i="360"/>
  <c r="C25" i="360"/>
  <c r="N24" i="360"/>
  <c r="M24" i="360"/>
  <c r="L24" i="360"/>
  <c r="J24" i="360"/>
  <c r="I24" i="360"/>
  <c r="D24" i="360"/>
  <c r="C24" i="360"/>
  <c r="N23" i="360"/>
  <c r="M23" i="360"/>
  <c r="L23" i="360"/>
  <c r="J23" i="360"/>
  <c r="I23" i="360"/>
  <c r="D23" i="360"/>
  <c r="C23" i="360"/>
  <c r="N22" i="360"/>
  <c r="M22" i="360"/>
  <c r="L22" i="360"/>
  <c r="J22" i="360"/>
  <c r="I22" i="360"/>
  <c r="D22" i="360"/>
  <c r="C22" i="360"/>
  <c r="N21" i="360"/>
  <c r="M21" i="360"/>
  <c r="L21" i="360"/>
  <c r="J21" i="360"/>
  <c r="I21" i="360"/>
  <c r="D21" i="360"/>
  <c r="C21" i="360"/>
  <c r="C20" i="360"/>
  <c r="A20" i="360"/>
  <c r="C15" i="360"/>
  <c r="C14" i="360"/>
  <c r="C13" i="360"/>
  <c r="C12" i="360"/>
  <c r="E4" i="360"/>
  <c r="I6" i="360" s="1"/>
  <c r="J59" i="359"/>
  <c r="M59" i="359" s="1"/>
  <c r="I59" i="359"/>
  <c r="D59" i="359"/>
  <c r="C59" i="359"/>
  <c r="J58" i="359"/>
  <c r="M58" i="359" s="1"/>
  <c r="I58" i="359"/>
  <c r="N58" i="359" s="1"/>
  <c r="D58" i="359"/>
  <c r="C58" i="359"/>
  <c r="C57" i="359"/>
  <c r="A57" i="359"/>
  <c r="J56" i="359"/>
  <c r="M56" i="359" s="1"/>
  <c r="I56" i="359"/>
  <c r="N56" i="359" s="1"/>
  <c r="D56" i="359"/>
  <c r="C56" i="359"/>
  <c r="J55" i="359"/>
  <c r="M55" i="359" s="1"/>
  <c r="I55" i="359"/>
  <c r="N55" i="359" s="1"/>
  <c r="D55" i="359"/>
  <c r="C55" i="359"/>
  <c r="N54" i="359"/>
  <c r="M54" i="359"/>
  <c r="J54" i="359"/>
  <c r="L54" i="359" s="1"/>
  <c r="I54" i="359"/>
  <c r="D54" i="359"/>
  <c r="C54" i="359"/>
  <c r="J53" i="359"/>
  <c r="M53" i="359" s="1"/>
  <c r="I53" i="359"/>
  <c r="N53" i="359" s="1"/>
  <c r="D53" i="359"/>
  <c r="C53" i="359"/>
  <c r="J52" i="359"/>
  <c r="N52" i="359" s="1"/>
  <c r="I52" i="359"/>
  <c r="D52" i="359"/>
  <c r="C52" i="359"/>
  <c r="N51" i="359"/>
  <c r="M51" i="359"/>
  <c r="J51" i="359"/>
  <c r="L51" i="359" s="1"/>
  <c r="I51" i="359"/>
  <c r="D51" i="359"/>
  <c r="C51" i="359"/>
  <c r="L50" i="359"/>
  <c r="J50" i="359"/>
  <c r="I50" i="359"/>
  <c r="N50" i="359" s="1"/>
  <c r="D50" i="359"/>
  <c r="C50" i="359"/>
  <c r="J49" i="359"/>
  <c r="N49" i="359" s="1"/>
  <c r="I49" i="359"/>
  <c r="D49" i="359"/>
  <c r="C49" i="359"/>
  <c r="J48" i="359"/>
  <c r="M48" i="359" s="1"/>
  <c r="I48" i="359"/>
  <c r="N48" i="359" s="1"/>
  <c r="D48" i="359"/>
  <c r="C48" i="359"/>
  <c r="N47" i="359"/>
  <c r="J47" i="359"/>
  <c r="M47" i="359" s="1"/>
  <c r="I47" i="359"/>
  <c r="D47" i="359"/>
  <c r="C47" i="359"/>
  <c r="J46" i="359"/>
  <c r="M46" i="359" s="1"/>
  <c r="I46" i="359"/>
  <c r="N46" i="359" s="1"/>
  <c r="D46" i="359"/>
  <c r="C46" i="359"/>
  <c r="M45" i="359"/>
  <c r="L45" i="359"/>
  <c r="J45" i="359"/>
  <c r="I45" i="359"/>
  <c r="N45" i="359" s="1"/>
  <c r="D45" i="359"/>
  <c r="C45" i="359"/>
  <c r="N44" i="359"/>
  <c r="L44" i="359"/>
  <c r="J44" i="359"/>
  <c r="M44" i="359" s="1"/>
  <c r="I44" i="359"/>
  <c r="D44" i="359"/>
  <c r="C44" i="359"/>
  <c r="J43" i="359"/>
  <c r="M43" i="359" s="1"/>
  <c r="I43" i="359"/>
  <c r="N43" i="359" s="1"/>
  <c r="D43" i="359"/>
  <c r="C43" i="359"/>
  <c r="N42" i="359"/>
  <c r="M42" i="359"/>
  <c r="L42" i="359"/>
  <c r="J42" i="359"/>
  <c r="I42" i="359"/>
  <c r="D42" i="359"/>
  <c r="C42" i="359"/>
  <c r="C41" i="359"/>
  <c r="A41" i="359"/>
  <c r="J40" i="359"/>
  <c r="M40" i="359" s="1"/>
  <c r="I40" i="359"/>
  <c r="N40" i="359" s="1"/>
  <c r="D40" i="359"/>
  <c r="C40" i="359"/>
  <c r="N39" i="359"/>
  <c r="M39" i="359"/>
  <c r="L39" i="359"/>
  <c r="J39" i="359"/>
  <c r="I39" i="359"/>
  <c r="D39" i="359"/>
  <c r="C39" i="359"/>
  <c r="J38" i="359"/>
  <c r="N38" i="359" s="1"/>
  <c r="I38" i="359"/>
  <c r="D38" i="359"/>
  <c r="C38" i="359"/>
  <c r="J37" i="359"/>
  <c r="M37" i="359" s="1"/>
  <c r="I37" i="359"/>
  <c r="N37" i="359" s="1"/>
  <c r="D37" i="359"/>
  <c r="C37" i="359"/>
  <c r="J36" i="359"/>
  <c r="M36" i="359" s="1"/>
  <c r="I36" i="359"/>
  <c r="N36" i="359" s="1"/>
  <c r="D36" i="359"/>
  <c r="C36" i="359"/>
  <c r="M35" i="359"/>
  <c r="J35" i="359"/>
  <c r="L35" i="359" s="1"/>
  <c r="I35" i="359"/>
  <c r="N35" i="359" s="1"/>
  <c r="D35" i="359"/>
  <c r="C35" i="359"/>
  <c r="J34" i="359"/>
  <c r="M34" i="359" s="1"/>
  <c r="I34" i="359"/>
  <c r="N34" i="359" s="1"/>
  <c r="D34" i="359"/>
  <c r="C34" i="359"/>
  <c r="J33" i="359"/>
  <c r="N33" i="359" s="1"/>
  <c r="I33" i="359"/>
  <c r="D33" i="359"/>
  <c r="C33" i="359"/>
  <c r="N32" i="359"/>
  <c r="M32" i="359"/>
  <c r="L32" i="359"/>
  <c r="J32" i="359"/>
  <c r="I32" i="359"/>
  <c r="D32" i="359"/>
  <c r="C32" i="359"/>
  <c r="N31" i="359"/>
  <c r="M31" i="359"/>
  <c r="L31" i="359"/>
  <c r="J31" i="359"/>
  <c r="I31" i="359"/>
  <c r="D31" i="359"/>
  <c r="C31" i="359"/>
  <c r="J30" i="359"/>
  <c r="N30" i="359" s="1"/>
  <c r="I30" i="359"/>
  <c r="D30" i="359"/>
  <c r="C30" i="359"/>
  <c r="J29" i="359"/>
  <c r="M29" i="359" s="1"/>
  <c r="I29" i="359"/>
  <c r="N29" i="359" s="1"/>
  <c r="D29" i="359"/>
  <c r="C29" i="359"/>
  <c r="N28" i="359"/>
  <c r="J28" i="359"/>
  <c r="M28" i="359" s="1"/>
  <c r="I28" i="359"/>
  <c r="D28" i="359"/>
  <c r="C28" i="359"/>
  <c r="J27" i="359"/>
  <c r="M27" i="359" s="1"/>
  <c r="I27" i="359"/>
  <c r="N27" i="359" s="1"/>
  <c r="D27" i="359"/>
  <c r="C27" i="359"/>
  <c r="C26" i="359"/>
  <c r="A26" i="359"/>
  <c r="N25" i="359"/>
  <c r="J25" i="359"/>
  <c r="M25" i="359" s="1"/>
  <c r="I25" i="359"/>
  <c r="D25" i="359"/>
  <c r="C25" i="359"/>
  <c r="J24" i="359"/>
  <c r="M24" i="359" s="1"/>
  <c r="I24" i="359"/>
  <c r="N24" i="359" s="1"/>
  <c r="D24" i="359"/>
  <c r="C24" i="359"/>
  <c r="N23" i="359"/>
  <c r="M23" i="359"/>
  <c r="L23" i="359"/>
  <c r="J23" i="359"/>
  <c r="I23" i="359"/>
  <c r="D23" i="359"/>
  <c r="C23" i="359"/>
  <c r="N22" i="359"/>
  <c r="M22" i="359"/>
  <c r="L22" i="359"/>
  <c r="J22" i="359"/>
  <c r="I22" i="359"/>
  <c r="D22" i="359"/>
  <c r="C22" i="359"/>
  <c r="L21" i="359"/>
  <c r="J21" i="359"/>
  <c r="I21" i="359"/>
  <c r="N21" i="359" s="1"/>
  <c r="D21" i="359"/>
  <c r="C21" i="359"/>
  <c r="C20" i="359"/>
  <c r="A20" i="359"/>
  <c r="C15" i="359"/>
  <c r="C14" i="359"/>
  <c r="C13" i="359"/>
  <c r="C12" i="359"/>
  <c r="E4" i="359"/>
  <c r="I6" i="359" s="1"/>
  <c r="J59" i="358"/>
  <c r="M59" i="358" s="1"/>
  <c r="I59" i="358"/>
  <c r="D59" i="358"/>
  <c r="C59" i="358"/>
  <c r="J58" i="358"/>
  <c r="M58" i="358" s="1"/>
  <c r="I58" i="358"/>
  <c r="N58" i="358" s="1"/>
  <c r="D58" i="358"/>
  <c r="C58" i="358"/>
  <c r="C57" i="358"/>
  <c r="A57" i="358"/>
  <c r="J56" i="358"/>
  <c r="M56" i="358" s="1"/>
  <c r="I56" i="358"/>
  <c r="N56" i="358" s="1"/>
  <c r="D56" i="358"/>
  <c r="C56" i="358"/>
  <c r="J55" i="358"/>
  <c r="M55" i="358" s="1"/>
  <c r="I55" i="358"/>
  <c r="N55" i="358" s="1"/>
  <c r="D55" i="358"/>
  <c r="C55" i="358"/>
  <c r="N54" i="358"/>
  <c r="M54" i="358"/>
  <c r="J54" i="358"/>
  <c r="L54" i="358" s="1"/>
  <c r="I54" i="358"/>
  <c r="D54" i="358"/>
  <c r="C54" i="358"/>
  <c r="N53" i="358"/>
  <c r="J53" i="358"/>
  <c r="M53" i="358" s="1"/>
  <c r="I53" i="358"/>
  <c r="D53" i="358"/>
  <c r="C53" i="358"/>
  <c r="J52" i="358"/>
  <c r="N52" i="358" s="1"/>
  <c r="I52" i="358"/>
  <c r="D52" i="358"/>
  <c r="C52" i="358"/>
  <c r="M51" i="358"/>
  <c r="L51" i="358"/>
  <c r="J51" i="358"/>
  <c r="N51" i="358" s="1"/>
  <c r="I51" i="358"/>
  <c r="D51" i="358"/>
  <c r="C51" i="358"/>
  <c r="J50" i="358"/>
  <c r="M50" i="358" s="1"/>
  <c r="I50" i="358"/>
  <c r="N50" i="358" s="1"/>
  <c r="D50" i="358"/>
  <c r="C50" i="358"/>
  <c r="J49" i="358"/>
  <c r="M49" i="358" s="1"/>
  <c r="I49" i="358"/>
  <c r="N49" i="358" s="1"/>
  <c r="D49" i="358"/>
  <c r="C49" i="358"/>
  <c r="L48" i="358"/>
  <c r="J48" i="358"/>
  <c r="M48" i="358" s="1"/>
  <c r="I48" i="358"/>
  <c r="N48" i="358" s="1"/>
  <c r="D48" i="358"/>
  <c r="C48" i="358"/>
  <c r="N47" i="358"/>
  <c r="J47" i="358"/>
  <c r="M47" i="358" s="1"/>
  <c r="I47" i="358"/>
  <c r="D47" i="358"/>
  <c r="C47" i="358"/>
  <c r="J46" i="358"/>
  <c r="M46" i="358" s="1"/>
  <c r="I46" i="358"/>
  <c r="N46" i="358" s="1"/>
  <c r="D46" i="358"/>
  <c r="C46" i="358"/>
  <c r="N45" i="358"/>
  <c r="M45" i="358"/>
  <c r="L45" i="358"/>
  <c r="J45" i="358"/>
  <c r="I45" i="358"/>
  <c r="D45" i="358"/>
  <c r="C45" i="358"/>
  <c r="N44" i="358"/>
  <c r="M44" i="358"/>
  <c r="L44" i="358"/>
  <c r="J44" i="358"/>
  <c r="I44" i="358"/>
  <c r="D44" i="358"/>
  <c r="C44" i="358"/>
  <c r="J43" i="358"/>
  <c r="M43" i="358" s="1"/>
  <c r="I43" i="358"/>
  <c r="N43" i="358" s="1"/>
  <c r="D43" i="358"/>
  <c r="C43" i="358"/>
  <c r="J42" i="358"/>
  <c r="M42" i="358" s="1"/>
  <c r="I42" i="358"/>
  <c r="N42" i="358" s="1"/>
  <c r="D42" i="358"/>
  <c r="C42" i="358"/>
  <c r="C41" i="358"/>
  <c r="A41" i="358"/>
  <c r="J40" i="358"/>
  <c r="M40" i="358" s="1"/>
  <c r="I40" i="358"/>
  <c r="N40" i="358" s="1"/>
  <c r="D40" i="358"/>
  <c r="C40" i="358"/>
  <c r="J39" i="358"/>
  <c r="M39" i="358" s="1"/>
  <c r="I39" i="358"/>
  <c r="N39" i="358" s="1"/>
  <c r="D39" i="358"/>
  <c r="C39" i="358"/>
  <c r="J38" i="358"/>
  <c r="M38" i="358" s="1"/>
  <c r="I38" i="358"/>
  <c r="N38" i="358" s="1"/>
  <c r="D38" i="358"/>
  <c r="C38" i="358"/>
  <c r="L37" i="358"/>
  <c r="J37" i="358"/>
  <c r="M37" i="358" s="1"/>
  <c r="I37" i="358"/>
  <c r="N37" i="358" s="1"/>
  <c r="D37" i="358"/>
  <c r="C37" i="358"/>
  <c r="L36" i="358"/>
  <c r="J36" i="358"/>
  <c r="M36" i="358" s="1"/>
  <c r="I36" i="358"/>
  <c r="N36" i="358" s="1"/>
  <c r="D36" i="358"/>
  <c r="C36" i="358"/>
  <c r="N35" i="358"/>
  <c r="M35" i="358"/>
  <c r="J35" i="358"/>
  <c r="L35" i="358" s="1"/>
  <c r="I35" i="358"/>
  <c r="D35" i="358"/>
  <c r="C35" i="358"/>
  <c r="N34" i="358"/>
  <c r="J34" i="358"/>
  <c r="L34" i="358" s="1"/>
  <c r="I34" i="358"/>
  <c r="M34" i="358" s="1"/>
  <c r="D34" i="358"/>
  <c r="C34" i="358"/>
  <c r="J33" i="358"/>
  <c r="N33" i="358" s="1"/>
  <c r="I33" i="358"/>
  <c r="D33" i="358"/>
  <c r="C33" i="358"/>
  <c r="M32" i="358"/>
  <c r="L32" i="358"/>
  <c r="J32" i="358"/>
  <c r="N32" i="358" s="1"/>
  <c r="I32" i="358"/>
  <c r="D32" i="358"/>
  <c r="C32" i="358"/>
  <c r="J31" i="358"/>
  <c r="M31" i="358" s="1"/>
  <c r="I31" i="358"/>
  <c r="N31" i="358" s="1"/>
  <c r="D31" i="358"/>
  <c r="C31" i="358"/>
  <c r="J30" i="358"/>
  <c r="M30" i="358" s="1"/>
  <c r="I30" i="358"/>
  <c r="N30" i="358" s="1"/>
  <c r="D30" i="358"/>
  <c r="C30" i="358"/>
  <c r="L29" i="358"/>
  <c r="J29" i="358"/>
  <c r="I29" i="358"/>
  <c r="N29" i="358" s="1"/>
  <c r="D29" i="358"/>
  <c r="C29" i="358"/>
  <c r="N28" i="358"/>
  <c r="J28" i="358"/>
  <c r="M28" i="358" s="1"/>
  <c r="I28" i="358"/>
  <c r="D28" i="358"/>
  <c r="C28" i="358"/>
  <c r="J27" i="358"/>
  <c r="M27" i="358" s="1"/>
  <c r="I27" i="358"/>
  <c r="N27" i="358" s="1"/>
  <c r="D27" i="358"/>
  <c r="C27" i="358"/>
  <c r="C26" i="358"/>
  <c r="A26" i="358"/>
  <c r="N25" i="358"/>
  <c r="J25" i="358"/>
  <c r="M25" i="358" s="1"/>
  <c r="I25" i="358"/>
  <c r="D25" i="358"/>
  <c r="C25" i="358"/>
  <c r="J24" i="358"/>
  <c r="M24" i="358" s="1"/>
  <c r="I24" i="358"/>
  <c r="N24" i="358" s="1"/>
  <c r="D24" i="358"/>
  <c r="C24" i="358"/>
  <c r="N23" i="358"/>
  <c r="M23" i="358"/>
  <c r="L23" i="358"/>
  <c r="J23" i="358"/>
  <c r="I23" i="358"/>
  <c r="D23" i="358"/>
  <c r="C23" i="358"/>
  <c r="N22" i="358"/>
  <c r="M22" i="358"/>
  <c r="L22" i="358"/>
  <c r="J22" i="358"/>
  <c r="I22" i="358"/>
  <c r="D22" i="358"/>
  <c r="C22" i="358"/>
  <c r="L21" i="358"/>
  <c r="J21" i="358"/>
  <c r="M21" i="358" s="1"/>
  <c r="I21" i="358"/>
  <c r="N21" i="358" s="1"/>
  <c r="D21" i="358"/>
  <c r="C21" i="358"/>
  <c r="C20" i="358"/>
  <c r="A20" i="358"/>
  <c r="C15" i="358"/>
  <c r="C14" i="358"/>
  <c r="C13" i="358"/>
  <c r="C12" i="358"/>
  <c r="E4" i="358"/>
  <c r="I6" i="358" s="1"/>
  <c r="J59" i="357"/>
  <c r="N59" i="357" s="1"/>
  <c r="I59" i="357"/>
  <c r="D59" i="357"/>
  <c r="C59" i="357"/>
  <c r="J58" i="357"/>
  <c r="M58" i="357" s="1"/>
  <c r="I58" i="357"/>
  <c r="N58" i="357" s="1"/>
  <c r="D58" i="357"/>
  <c r="C58" i="357"/>
  <c r="C57" i="357"/>
  <c r="A57" i="357"/>
  <c r="J56" i="357"/>
  <c r="N56" i="357" s="1"/>
  <c r="I56" i="357"/>
  <c r="D56" i="357"/>
  <c r="C56" i="357"/>
  <c r="J55" i="357"/>
  <c r="M55" i="357" s="1"/>
  <c r="I55" i="357"/>
  <c r="N55" i="357" s="1"/>
  <c r="D55" i="357"/>
  <c r="C55" i="357"/>
  <c r="N54" i="357"/>
  <c r="M54" i="357"/>
  <c r="L54" i="357"/>
  <c r="J54" i="357"/>
  <c r="I54" i="357"/>
  <c r="D54" i="357"/>
  <c r="C54" i="357"/>
  <c r="J53" i="357"/>
  <c r="L53" i="357" s="1"/>
  <c r="I53" i="357"/>
  <c r="N53" i="357" s="1"/>
  <c r="D53" i="357"/>
  <c r="C53" i="357"/>
  <c r="N52" i="357"/>
  <c r="J52" i="357"/>
  <c r="M52" i="357" s="1"/>
  <c r="I52" i="357"/>
  <c r="D52" i="357"/>
  <c r="C52" i="357"/>
  <c r="J51" i="357"/>
  <c r="M51" i="357" s="1"/>
  <c r="I51" i="357"/>
  <c r="N51" i="357" s="1"/>
  <c r="D51" i="357"/>
  <c r="C51" i="357"/>
  <c r="M50" i="357"/>
  <c r="L50" i="357"/>
  <c r="J50" i="357"/>
  <c r="I50" i="357"/>
  <c r="N50" i="357" s="1"/>
  <c r="D50" i="357"/>
  <c r="C50" i="357"/>
  <c r="L49" i="357"/>
  <c r="J49" i="357"/>
  <c r="N49" i="357" s="1"/>
  <c r="I49" i="357"/>
  <c r="D49" i="357"/>
  <c r="C49" i="357"/>
  <c r="J48" i="357"/>
  <c r="M48" i="357" s="1"/>
  <c r="I48" i="357"/>
  <c r="N48" i="357" s="1"/>
  <c r="D48" i="357"/>
  <c r="C48" i="357"/>
  <c r="N47" i="357"/>
  <c r="M47" i="357"/>
  <c r="J47" i="357"/>
  <c r="L47" i="357" s="1"/>
  <c r="I47" i="357"/>
  <c r="D47" i="357"/>
  <c r="C47" i="357"/>
  <c r="N46" i="357"/>
  <c r="J46" i="357"/>
  <c r="M46" i="357" s="1"/>
  <c r="I46" i="357"/>
  <c r="D46" i="357"/>
  <c r="C46" i="357"/>
  <c r="M45" i="357"/>
  <c r="L45" i="357"/>
  <c r="J45" i="357"/>
  <c r="N45" i="357" s="1"/>
  <c r="I45" i="357"/>
  <c r="D45" i="357"/>
  <c r="C45" i="357"/>
  <c r="L44" i="357"/>
  <c r="J44" i="357"/>
  <c r="M44" i="357" s="1"/>
  <c r="I44" i="357"/>
  <c r="N44" i="357" s="1"/>
  <c r="D44" i="357"/>
  <c r="C44" i="357"/>
  <c r="N43" i="357"/>
  <c r="M43" i="357"/>
  <c r="J43" i="357"/>
  <c r="L43" i="357" s="1"/>
  <c r="I43" i="357"/>
  <c r="D43" i="357"/>
  <c r="C43" i="357"/>
  <c r="J42" i="357"/>
  <c r="L42" i="357" s="1"/>
  <c r="I42" i="357"/>
  <c r="N42" i="357" s="1"/>
  <c r="D42" i="357"/>
  <c r="C42" i="357"/>
  <c r="C41" i="357"/>
  <c r="A41" i="357"/>
  <c r="N40" i="357"/>
  <c r="M40" i="357"/>
  <c r="J40" i="357"/>
  <c r="L40" i="357" s="1"/>
  <c r="I40" i="357"/>
  <c r="D40" i="357"/>
  <c r="C40" i="357"/>
  <c r="J39" i="357"/>
  <c r="L39" i="357" s="1"/>
  <c r="I39" i="357"/>
  <c r="N39" i="357" s="1"/>
  <c r="D39" i="357"/>
  <c r="C39" i="357"/>
  <c r="J38" i="357"/>
  <c r="N38" i="357" s="1"/>
  <c r="I38" i="357"/>
  <c r="D38" i="357"/>
  <c r="C38" i="357"/>
  <c r="N37" i="357"/>
  <c r="J37" i="357"/>
  <c r="M37" i="357" s="1"/>
  <c r="I37" i="357"/>
  <c r="D37" i="357"/>
  <c r="C37" i="357"/>
  <c r="L36" i="357"/>
  <c r="J36" i="357"/>
  <c r="M36" i="357" s="1"/>
  <c r="I36" i="357"/>
  <c r="N36" i="357" s="1"/>
  <c r="D36" i="357"/>
  <c r="C36" i="357"/>
  <c r="N35" i="357"/>
  <c r="M35" i="357"/>
  <c r="L35" i="357"/>
  <c r="J35" i="357"/>
  <c r="I35" i="357"/>
  <c r="D35" i="357"/>
  <c r="C35" i="357"/>
  <c r="L34" i="357"/>
  <c r="J34" i="357"/>
  <c r="I34" i="357"/>
  <c r="N34" i="357" s="1"/>
  <c r="D34" i="357"/>
  <c r="C34" i="357"/>
  <c r="N33" i="357"/>
  <c r="J33" i="357"/>
  <c r="M33" i="357" s="1"/>
  <c r="I33" i="357"/>
  <c r="D33" i="357"/>
  <c r="C33" i="357"/>
  <c r="J32" i="357"/>
  <c r="M32" i="357" s="1"/>
  <c r="I32" i="357"/>
  <c r="N32" i="357" s="1"/>
  <c r="D32" i="357"/>
  <c r="C32" i="357"/>
  <c r="M31" i="357"/>
  <c r="L31" i="357"/>
  <c r="J31" i="357"/>
  <c r="I31" i="357"/>
  <c r="N31" i="357" s="1"/>
  <c r="D31" i="357"/>
  <c r="C31" i="357"/>
  <c r="L30" i="357"/>
  <c r="J30" i="357"/>
  <c r="M30" i="357" s="1"/>
  <c r="I30" i="357"/>
  <c r="N30" i="357" s="1"/>
  <c r="D30" i="357"/>
  <c r="C30" i="357"/>
  <c r="J29" i="357"/>
  <c r="M29" i="357" s="1"/>
  <c r="I29" i="357"/>
  <c r="N29" i="357" s="1"/>
  <c r="D29" i="357"/>
  <c r="C29" i="357"/>
  <c r="N28" i="357"/>
  <c r="M28" i="357"/>
  <c r="L28" i="357"/>
  <c r="J28" i="357"/>
  <c r="I28" i="357"/>
  <c r="D28" i="357"/>
  <c r="C28" i="357"/>
  <c r="J27" i="357"/>
  <c r="N27" i="357" s="1"/>
  <c r="I27" i="357"/>
  <c r="D27" i="357"/>
  <c r="C27" i="357"/>
  <c r="C26" i="357"/>
  <c r="A26" i="357"/>
  <c r="N25" i="357"/>
  <c r="M25" i="357"/>
  <c r="J25" i="357"/>
  <c r="L25" i="357" s="1"/>
  <c r="I25" i="357"/>
  <c r="D25" i="357"/>
  <c r="C25" i="357"/>
  <c r="J24" i="357"/>
  <c r="N24" i="357" s="1"/>
  <c r="I24" i="357"/>
  <c r="D24" i="357"/>
  <c r="C24" i="357"/>
  <c r="L23" i="357"/>
  <c r="J23" i="357"/>
  <c r="N23" i="357" s="1"/>
  <c r="I23" i="357"/>
  <c r="D23" i="357"/>
  <c r="C23" i="357"/>
  <c r="L22" i="357"/>
  <c r="J22" i="357"/>
  <c r="M22" i="357" s="1"/>
  <c r="I22" i="357"/>
  <c r="N22" i="357" s="1"/>
  <c r="D22" i="357"/>
  <c r="C22" i="357"/>
  <c r="N21" i="357"/>
  <c r="M21" i="357"/>
  <c r="L21" i="357"/>
  <c r="J21" i="357"/>
  <c r="I21" i="357"/>
  <c r="D21" i="357"/>
  <c r="C21" i="357"/>
  <c r="C20" i="357"/>
  <c r="A20" i="357"/>
  <c r="C15" i="357"/>
  <c r="C14" i="357"/>
  <c r="C13" i="357"/>
  <c r="C12" i="357"/>
  <c r="E4" i="357"/>
  <c r="I6" i="357" s="1"/>
  <c r="J59" i="356"/>
  <c r="M59" i="356" s="1"/>
  <c r="I59" i="356"/>
  <c r="D59" i="356"/>
  <c r="C59" i="356"/>
  <c r="J58" i="356"/>
  <c r="M58" i="356" s="1"/>
  <c r="I58" i="356"/>
  <c r="N58" i="356" s="1"/>
  <c r="D58" i="356"/>
  <c r="C58" i="356"/>
  <c r="C57" i="356"/>
  <c r="A57" i="356"/>
  <c r="J56" i="356"/>
  <c r="M56" i="356" s="1"/>
  <c r="I56" i="356"/>
  <c r="N56" i="356" s="1"/>
  <c r="D56" i="356"/>
  <c r="C56" i="356"/>
  <c r="J55" i="356"/>
  <c r="M55" i="356" s="1"/>
  <c r="I55" i="356"/>
  <c r="N55" i="356" s="1"/>
  <c r="D55" i="356"/>
  <c r="C55" i="356"/>
  <c r="N54" i="356"/>
  <c r="M54" i="356"/>
  <c r="J54" i="356"/>
  <c r="L54" i="356" s="1"/>
  <c r="I54" i="356"/>
  <c r="D54" i="356"/>
  <c r="C54" i="356"/>
  <c r="N53" i="356"/>
  <c r="J53" i="356"/>
  <c r="M53" i="356" s="1"/>
  <c r="I53" i="356"/>
  <c r="D53" i="356"/>
  <c r="C53" i="356"/>
  <c r="J52" i="356"/>
  <c r="N52" i="356" s="1"/>
  <c r="I52" i="356"/>
  <c r="D52" i="356"/>
  <c r="C52" i="356"/>
  <c r="N51" i="356"/>
  <c r="M51" i="356"/>
  <c r="L51" i="356"/>
  <c r="J51" i="356"/>
  <c r="I51" i="356"/>
  <c r="D51" i="356"/>
  <c r="C51" i="356"/>
  <c r="J50" i="356"/>
  <c r="N50" i="356" s="1"/>
  <c r="I50" i="356"/>
  <c r="D50" i="356"/>
  <c r="C50" i="356"/>
  <c r="J49" i="356"/>
  <c r="M49" i="356" s="1"/>
  <c r="I49" i="356"/>
  <c r="N49" i="356" s="1"/>
  <c r="D49" i="356"/>
  <c r="C49" i="356"/>
  <c r="L48" i="356"/>
  <c r="J48" i="356"/>
  <c r="M48" i="356" s="1"/>
  <c r="I48" i="356"/>
  <c r="N48" i="356" s="1"/>
  <c r="D48" i="356"/>
  <c r="C48" i="356"/>
  <c r="N47" i="356"/>
  <c r="J47" i="356"/>
  <c r="M47" i="356" s="1"/>
  <c r="I47" i="356"/>
  <c r="D47" i="356"/>
  <c r="C47" i="356"/>
  <c r="J46" i="356"/>
  <c r="M46" i="356" s="1"/>
  <c r="I46" i="356"/>
  <c r="N46" i="356" s="1"/>
  <c r="D46" i="356"/>
  <c r="C46" i="356"/>
  <c r="N45" i="356"/>
  <c r="M45" i="356"/>
  <c r="L45" i="356"/>
  <c r="J45" i="356"/>
  <c r="I45" i="356"/>
  <c r="D45" i="356"/>
  <c r="C45" i="356"/>
  <c r="N44" i="356"/>
  <c r="M44" i="356"/>
  <c r="L44" i="356"/>
  <c r="J44" i="356"/>
  <c r="I44" i="356"/>
  <c r="D44" i="356"/>
  <c r="C44" i="356"/>
  <c r="L43" i="356"/>
  <c r="J43" i="356"/>
  <c r="M43" i="356" s="1"/>
  <c r="I43" i="356"/>
  <c r="N43" i="356" s="1"/>
  <c r="D43" i="356"/>
  <c r="C43" i="356"/>
  <c r="J42" i="356"/>
  <c r="N42" i="356" s="1"/>
  <c r="I42" i="356"/>
  <c r="D42" i="356"/>
  <c r="C42" i="356"/>
  <c r="C41" i="356"/>
  <c r="A41" i="356"/>
  <c r="L40" i="356"/>
  <c r="J40" i="356"/>
  <c r="M40" i="356" s="1"/>
  <c r="I40" i="356"/>
  <c r="N40" i="356" s="1"/>
  <c r="D40" i="356"/>
  <c r="C40" i="356"/>
  <c r="J39" i="356"/>
  <c r="N39" i="356" s="1"/>
  <c r="I39" i="356"/>
  <c r="D39" i="356"/>
  <c r="C39" i="356"/>
  <c r="J38" i="356"/>
  <c r="L38" i="356" s="1"/>
  <c r="I38" i="356"/>
  <c r="N38" i="356" s="1"/>
  <c r="D38" i="356"/>
  <c r="C38" i="356"/>
  <c r="J37" i="356"/>
  <c r="M37" i="356" s="1"/>
  <c r="I37" i="356"/>
  <c r="N37" i="356" s="1"/>
  <c r="D37" i="356"/>
  <c r="C37" i="356"/>
  <c r="J36" i="356"/>
  <c r="M36" i="356" s="1"/>
  <c r="I36" i="356"/>
  <c r="N36" i="356" s="1"/>
  <c r="D36" i="356"/>
  <c r="C36" i="356"/>
  <c r="N35" i="356"/>
  <c r="M35" i="356"/>
  <c r="J35" i="356"/>
  <c r="L35" i="356" s="1"/>
  <c r="I35" i="356"/>
  <c r="D35" i="356"/>
  <c r="C35" i="356"/>
  <c r="N34" i="356"/>
  <c r="J34" i="356"/>
  <c r="L34" i="356" s="1"/>
  <c r="I34" i="356"/>
  <c r="M34" i="356" s="1"/>
  <c r="D34" i="356"/>
  <c r="C34" i="356"/>
  <c r="J33" i="356"/>
  <c r="N33" i="356" s="1"/>
  <c r="I33" i="356"/>
  <c r="D33" i="356"/>
  <c r="C33" i="356"/>
  <c r="N32" i="356"/>
  <c r="M32" i="356"/>
  <c r="L32" i="356"/>
  <c r="J32" i="356"/>
  <c r="I32" i="356"/>
  <c r="D32" i="356"/>
  <c r="C32" i="356"/>
  <c r="J31" i="356"/>
  <c r="N31" i="356" s="1"/>
  <c r="I31" i="356"/>
  <c r="D31" i="356"/>
  <c r="C31" i="356"/>
  <c r="J30" i="356"/>
  <c r="M30" i="356" s="1"/>
  <c r="I30" i="356"/>
  <c r="N30" i="356" s="1"/>
  <c r="D30" i="356"/>
  <c r="C30" i="356"/>
  <c r="L29" i="356"/>
  <c r="J29" i="356"/>
  <c r="I29" i="356"/>
  <c r="N29" i="356" s="1"/>
  <c r="D29" i="356"/>
  <c r="C29" i="356"/>
  <c r="N28" i="356"/>
  <c r="J28" i="356"/>
  <c r="M28" i="356" s="1"/>
  <c r="I28" i="356"/>
  <c r="D28" i="356"/>
  <c r="C28" i="356"/>
  <c r="J27" i="356"/>
  <c r="M27" i="356" s="1"/>
  <c r="I27" i="356"/>
  <c r="N27" i="356" s="1"/>
  <c r="D27" i="356"/>
  <c r="C27" i="356"/>
  <c r="C26" i="356"/>
  <c r="A26" i="356"/>
  <c r="N25" i="356"/>
  <c r="J25" i="356"/>
  <c r="M25" i="356" s="1"/>
  <c r="I25" i="356"/>
  <c r="D25" i="356"/>
  <c r="C25" i="356"/>
  <c r="J24" i="356"/>
  <c r="M24" i="356" s="1"/>
  <c r="I24" i="356"/>
  <c r="N24" i="356" s="1"/>
  <c r="D24" i="356"/>
  <c r="C24" i="356"/>
  <c r="N23" i="356"/>
  <c r="M23" i="356"/>
  <c r="L23" i="356"/>
  <c r="J23" i="356"/>
  <c r="I23" i="356"/>
  <c r="D23" i="356"/>
  <c r="C23" i="356"/>
  <c r="N22" i="356"/>
  <c r="M22" i="356"/>
  <c r="L22" i="356"/>
  <c r="J22" i="356"/>
  <c r="I22" i="356"/>
  <c r="D22" i="356"/>
  <c r="C22" i="356"/>
  <c r="L21" i="356"/>
  <c r="J21" i="356"/>
  <c r="I21" i="356"/>
  <c r="N21" i="356" s="1"/>
  <c r="D21" i="356"/>
  <c r="C21" i="356"/>
  <c r="C20" i="356"/>
  <c r="A20" i="356"/>
  <c r="C15" i="356"/>
  <c r="C14" i="356"/>
  <c r="C13" i="356"/>
  <c r="C12" i="356"/>
  <c r="E4" i="356"/>
  <c r="I6" i="356" s="1"/>
  <c r="J59" i="355"/>
  <c r="M59" i="355" s="1"/>
  <c r="I59" i="355"/>
  <c r="N59" i="355" s="1"/>
  <c r="D59" i="355"/>
  <c r="C59" i="355"/>
  <c r="J58" i="355"/>
  <c r="M58" i="355" s="1"/>
  <c r="I58" i="355"/>
  <c r="D58" i="355"/>
  <c r="C58" i="355"/>
  <c r="C57" i="355"/>
  <c r="A57" i="355"/>
  <c r="J56" i="355"/>
  <c r="M56" i="355" s="1"/>
  <c r="I56" i="355"/>
  <c r="N56" i="355" s="1"/>
  <c r="D56" i="355"/>
  <c r="C56" i="355"/>
  <c r="N55" i="355"/>
  <c r="J55" i="355"/>
  <c r="M55" i="355" s="1"/>
  <c r="I55" i="355"/>
  <c r="D55" i="355"/>
  <c r="C55" i="355"/>
  <c r="N54" i="355"/>
  <c r="M54" i="355"/>
  <c r="J54" i="355"/>
  <c r="L54" i="355" s="1"/>
  <c r="I54" i="355"/>
  <c r="D54" i="355"/>
  <c r="C54" i="355"/>
  <c r="L53" i="355"/>
  <c r="J53" i="355"/>
  <c r="M53" i="355" s="1"/>
  <c r="I53" i="355"/>
  <c r="N53" i="355" s="1"/>
  <c r="D53" i="355"/>
  <c r="C53" i="355"/>
  <c r="J52" i="355"/>
  <c r="N52" i="355" s="1"/>
  <c r="I52" i="355"/>
  <c r="D52" i="355"/>
  <c r="C52" i="355"/>
  <c r="J51" i="355"/>
  <c r="M51" i="355" s="1"/>
  <c r="I51" i="355"/>
  <c r="N51" i="355" s="1"/>
  <c r="D51" i="355"/>
  <c r="C51" i="355"/>
  <c r="L50" i="355"/>
  <c r="J50" i="355"/>
  <c r="M50" i="355" s="1"/>
  <c r="I50" i="355"/>
  <c r="N50" i="355" s="1"/>
  <c r="D50" i="355"/>
  <c r="C50" i="355"/>
  <c r="N49" i="355"/>
  <c r="L49" i="355"/>
  <c r="J49" i="355"/>
  <c r="M49" i="355" s="1"/>
  <c r="I49" i="355"/>
  <c r="D49" i="355"/>
  <c r="C49" i="355"/>
  <c r="L48" i="355"/>
  <c r="J48" i="355"/>
  <c r="M48" i="355" s="1"/>
  <c r="I48" i="355"/>
  <c r="N48" i="355" s="1"/>
  <c r="D48" i="355"/>
  <c r="C48" i="355"/>
  <c r="N47" i="355"/>
  <c r="L47" i="355"/>
  <c r="J47" i="355"/>
  <c r="M47" i="355" s="1"/>
  <c r="I47" i="355"/>
  <c r="D47" i="355"/>
  <c r="C47" i="355"/>
  <c r="M46" i="355"/>
  <c r="J46" i="355"/>
  <c r="L46" i="355" s="1"/>
  <c r="I46" i="355"/>
  <c r="N46" i="355" s="1"/>
  <c r="D46" i="355"/>
  <c r="C46" i="355"/>
  <c r="M45" i="355"/>
  <c r="L45" i="355"/>
  <c r="J45" i="355"/>
  <c r="I45" i="355"/>
  <c r="N45" i="355" s="1"/>
  <c r="D45" i="355"/>
  <c r="C45" i="355"/>
  <c r="J44" i="355"/>
  <c r="M44" i="355" s="1"/>
  <c r="I44" i="355"/>
  <c r="N44" i="355" s="1"/>
  <c r="D44" i="355"/>
  <c r="C44" i="355"/>
  <c r="J43" i="355"/>
  <c r="M43" i="355" s="1"/>
  <c r="I43" i="355"/>
  <c r="N43" i="355" s="1"/>
  <c r="D43" i="355"/>
  <c r="C43" i="355"/>
  <c r="M42" i="355"/>
  <c r="J42" i="355"/>
  <c r="L42" i="355" s="1"/>
  <c r="I42" i="355"/>
  <c r="N42" i="355" s="1"/>
  <c r="D42" i="355"/>
  <c r="C42" i="355"/>
  <c r="C41" i="355"/>
  <c r="A41" i="355"/>
  <c r="J40" i="355"/>
  <c r="M40" i="355" s="1"/>
  <c r="I40" i="355"/>
  <c r="N40" i="355" s="1"/>
  <c r="D40" i="355"/>
  <c r="C40" i="355"/>
  <c r="M39" i="355"/>
  <c r="J39" i="355"/>
  <c r="L39" i="355" s="1"/>
  <c r="I39" i="355"/>
  <c r="N39" i="355" s="1"/>
  <c r="D39" i="355"/>
  <c r="C39" i="355"/>
  <c r="J38" i="355"/>
  <c r="M38" i="355" s="1"/>
  <c r="I38" i="355"/>
  <c r="N38" i="355" s="1"/>
  <c r="D38" i="355"/>
  <c r="C38" i="355"/>
  <c r="J37" i="355"/>
  <c r="N37" i="355" s="1"/>
  <c r="I37" i="355"/>
  <c r="D37" i="355"/>
  <c r="C37" i="355"/>
  <c r="N36" i="355"/>
  <c r="J36" i="355"/>
  <c r="M36" i="355" s="1"/>
  <c r="I36" i="355"/>
  <c r="D36" i="355"/>
  <c r="C36" i="355"/>
  <c r="J35" i="355"/>
  <c r="L35" i="355" s="1"/>
  <c r="I35" i="355"/>
  <c r="D35" i="355"/>
  <c r="C35" i="355"/>
  <c r="L34" i="355"/>
  <c r="J34" i="355"/>
  <c r="M34" i="355" s="1"/>
  <c r="I34" i="355"/>
  <c r="N34" i="355" s="1"/>
  <c r="D34" i="355"/>
  <c r="C34" i="355"/>
  <c r="J33" i="355"/>
  <c r="N33" i="355" s="1"/>
  <c r="I33" i="355"/>
  <c r="D33" i="355"/>
  <c r="C33" i="355"/>
  <c r="J32" i="355"/>
  <c r="M32" i="355" s="1"/>
  <c r="I32" i="355"/>
  <c r="N32" i="355" s="1"/>
  <c r="D32" i="355"/>
  <c r="C32" i="355"/>
  <c r="J31" i="355"/>
  <c r="M31" i="355" s="1"/>
  <c r="I31" i="355"/>
  <c r="N31" i="355" s="1"/>
  <c r="D31" i="355"/>
  <c r="C31" i="355"/>
  <c r="N30" i="355"/>
  <c r="J30" i="355"/>
  <c r="M30" i="355" s="1"/>
  <c r="I30" i="355"/>
  <c r="D30" i="355"/>
  <c r="C30" i="355"/>
  <c r="J29" i="355"/>
  <c r="L29" i="355" s="1"/>
  <c r="I29" i="355"/>
  <c r="N29" i="355" s="1"/>
  <c r="D29" i="355"/>
  <c r="C29" i="355"/>
  <c r="N28" i="355"/>
  <c r="L28" i="355"/>
  <c r="J28" i="355"/>
  <c r="M28" i="355" s="1"/>
  <c r="I28" i="355"/>
  <c r="D28" i="355"/>
  <c r="C28" i="355"/>
  <c r="J27" i="355"/>
  <c r="L27" i="355" s="1"/>
  <c r="I27" i="355"/>
  <c r="N27" i="355" s="1"/>
  <c r="D27" i="355"/>
  <c r="C27" i="355"/>
  <c r="C26" i="355"/>
  <c r="A26" i="355"/>
  <c r="N25" i="355"/>
  <c r="L25" i="355"/>
  <c r="J25" i="355"/>
  <c r="M25" i="355" s="1"/>
  <c r="I25" i="355"/>
  <c r="D25" i="355"/>
  <c r="C25" i="355"/>
  <c r="M24" i="355"/>
  <c r="J24" i="355"/>
  <c r="L24" i="355" s="1"/>
  <c r="I24" i="355"/>
  <c r="N24" i="355" s="1"/>
  <c r="D24" i="355"/>
  <c r="C24" i="355"/>
  <c r="M23" i="355"/>
  <c r="L23" i="355"/>
  <c r="J23" i="355"/>
  <c r="I23" i="355"/>
  <c r="N23" i="355" s="1"/>
  <c r="D23" i="355"/>
  <c r="C23" i="355"/>
  <c r="J22" i="355"/>
  <c r="M22" i="355" s="1"/>
  <c r="I22" i="355"/>
  <c r="N22" i="355" s="1"/>
  <c r="D22" i="355"/>
  <c r="C22" i="355"/>
  <c r="J21" i="355"/>
  <c r="M21" i="355" s="1"/>
  <c r="I21" i="355"/>
  <c r="N21" i="355" s="1"/>
  <c r="D21" i="355"/>
  <c r="C21" i="355"/>
  <c r="C20" i="355"/>
  <c r="A20" i="355"/>
  <c r="C15" i="355"/>
  <c r="C14" i="355"/>
  <c r="C13" i="355"/>
  <c r="C12" i="355"/>
  <c r="E4" i="355"/>
  <c r="I6" i="355" s="1"/>
  <c r="L59" i="354"/>
  <c r="J59" i="354"/>
  <c r="M59" i="354" s="1"/>
  <c r="I59" i="354"/>
  <c r="D59" i="354"/>
  <c r="C59" i="354"/>
  <c r="N58" i="354"/>
  <c r="M58" i="354"/>
  <c r="L58" i="354"/>
  <c r="J58" i="354"/>
  <c r="I58" i="354"/>
  <c r="D58" i="354"/>
  <c r="C58" i="354"/>
  <c r="C57" i="354"/>
  <c r="A57" i="354"/>
  <c r="N56" i="354"/>
  <c r="M56" i="354"/>
  <c r="L56" i="354"/>
  <c r="J56" i="354"/>
  <c r="I56" i="354"/>
  <c r="D56" i="354"/>
  <c r="C56" i="354"/>
  <c r="N55" i="354"/>
  <c r="M55" i="354"/>
  <c r="L55" i="354"/>
  <c r="J55" i="354"/>
  <c r="I55" i="354"/>
  <c r="D55" i="354"/>
  <c r="C55" i="354"/>
  <c r="N54" i="354"/>
  <c r="M54" i="354"/>
  <c r="L54" i="354"/>
  <c r="J54" i="354"/>
  <c r="I54" i="354"/>
  <c r="D54" i="354"/>
  <c r="C54" i="354"/>
  <c r="N53" i="354"/>
  <c r="M53" i="354"/>
  <c r="L53" i="354"/>
  <c r="J53" i="354"/>
  <c r="I53" i="354"/>
  <c r="D53" i="354"/>
  <c r="C53" i="354"/>
  <c r="N52" i="354"/>
  <c r="M52" i="354"/>
  <c r="L52" i="354"/>
  <c r="J52" i="354"/>
  <c r="I52" i="354"/>
  <c r="D52" i="354"/>
  <c r="C52" i="354"/>
  <c r="N51" i="354"/>
  <c r="M51" i="354"/>
  <c r="L51" i="354"/>
  <c r="J51" i="354"/>
  <c r="I51" i="354"/>
  <c r="D51" i="354"/>
  <c r="C51" i="354"/>
  <c r="N50" i="354"/>
  <c r="M50" i="354"/>
  <c r="L50" i="354"/>
  <c r="J50" i="354"/>
  <c r="I50" i="354"/>
  <c r="D50" i="354"/>
  <c r="C50" i="354"/>
  <c r="N49" i="354"/>
  <c r="M49" i="354"/>
  <c r="L49" i="354"/>
  <c r="J49" i="354"/>
  <c r="I49" i="354"/>
  <c r="D49" i="354"/>
  <c r="C49" i="354"/>
  <c r="N48" i="354"/>
  <c r="M48" i="354"/>
  <c r="L48" i="354"/>
  <c r="J48" i="354"/>
  <c r="I48" i="354"/>
  <c r="D48" i="354"/>
  <c r="C48" i="354"/>
  <c r="N47" i="354"/>
  <c r="M47" i="354"/>
  <c r="L47" i="354"/>
  <c r="J47" i="354"/>
  <c r="I47" i="354"/>
  <c r="D47" i="354"/>
  <c r="C47" i="354"/>
  <c r="N46" i="354"/>
  <c r="M46" i="354"/>
  <c r="L46" i="354"/>
  <c r="J46" i="354"/>
  <c r="I46" i="354"/>
  <c r="D46" i="354"/>
  <c r="C46" i="354"/>
  <c r="N45" i="354"/>
  <c r="M45" i="354"/>
  <c r="L45" i="354"/>
  <c r="J45" i="354"/>
  <c r="I45" i="354"/>
  <c r="D45" i="354"/>
  <c r="C45" i="354"/>
  <c r="N44" i="354"/>
  <c r="M44" i="354"/>
  <c r="L44" i="354"/>
  <c r="J44" i="354"/>
  <c r="I44" i="354"/>
  <c r="D44" i="354"/>
  <c r="C44" i="354"/>
  <c r="N43" i="354"/>
  <c r="M43" i="354"/>
  <c r="L43" i="354"/>
  <c r="J43" i="354"/>
  <c r="I43" i="354"/>
  <c r="D43" i="354"/>
  <c r="C43" i="354"/>
  <c r="N42" i="354"/>
  <c r="M42" i="354"/>
  <c r="L42" i="354"/>
  <c r="J42" i="354"/>
  <c r="I42" i="354"/>
  <c r="D42" i="354"/>
  <c r="C42" i="354"/>
  <c r="C41" i="354"/>
  <c r="A41" i="354"/>
  <c r="N40" i="354"/>
  <c r="M40" i="354"/>
  <c r="L40" i="354"/>
  <c r="J40" i="354"/>
  <c r="I40" i="354"/>
  <c r="D40" i="354"/>
  <c r="C40" i="354"/>
  <c r="N39" i="354"/>
  <c r="M39" i="354"/>
  <c r="L39" i="354"/>
  <c r="J39" i="354"/>
  <c r="I39" i="354"/>
  <c r="D39" i="354"/>
  <c r="C39" i="354"/>
  <c r="N38" i="354"/>
  <c r="M38" i="354"/>
  <c r="L38" i="354"/>
  <c r="J38" i="354"/>
  <c r="I38" i="354"/>
  <c r="D38" i="354"/>
  <c r="C38" i="354"/>
  <c r="N37" i="354"/>
  <c r="M37" i="354"/>
  <c r="L37" i="354"/>
  <c r="J37" i="354"/>
  <c r="I37" i="354"/>
  <c r="D37" i="354"/>
  <c r="C37" i="354"/>
  <c r="N36" i="354"/>
  <c r="M36" i="354"/>
  <c r="J36" i="354"/>
  <c r="L36" i="354" s="1"/>
  <c r="I36" i="354"/>
  <c r="D36" i="354"/>
  <c r="C36" i="354"/>
  <c r="N35" i="354"/>
  <c r="M35" i="354"/>
  <c r="L35" i="354"/>
  <c r="J35" i="354"/>
  <c r="I35" i="354"/>
  <c r="D35" i="354"/>
  <c r="C35" i="354"/>
  <c r="N34" i="354"/>
  <c r="M34" i="354"/>
  <c r="L34" i="354"/>
  <c r="J34" i="354"/>
  <c r="I34" i="354"/>
  <c r="D34" i="354"/>
  <c r="C34" i="354"/>
  <c r="N33" i="354"/>
  <c r="M33" i="354"/>
  <c r="L33" i="354"/>
  <c r="J33" i="354"/>
  <c r="I33" i="354"/>
  <c r="D33" i="354"/>
  <c r="C33" i="354"/>
  <c r="N32" i="354"/>
  <c r="M32" i="354"/>
  <c r="L32" i="354"/>
  <c r="J32" i="354"/>
  <c r="I32" i="354"/>
  <c r="D32" i="354"/>
  <c r="C32" i="354"/>
  <c r="N31" i="354"/>
  <c r="M31" i="354"/>
  <c r="L31" i="354"/>
  <c r="J31" i="354"/>
  <c r="I31" i="354"/>
  <c r="D31" i="354"/>
  <c r="C31" i="354"/>
  <c r="N30" i="354"/>
  <c r="M30" i="354"/>
  <c r="L30" i="354"/>
  <c r="J30" i="354"/>
  <c r="I30" i="354"/>
  <c r="D30" i="354"/>
  <c r="C30" i="354"/>
  <c r="N29" i="354"/>
  <c r="M29" i="354"/>
  <c r="L29" i="354"/>
  <c r="J29" i="354"/>
  <c r="I29" i="354"/>
  <c r="D29" i="354"/>
  <c r="C29" i="354"/>
  <c r="N28" i="354"/>
  <c r="M28" i="354"/>
  <c r="L28" i="354"/>
  <c r="J28" i="354"/>
  <c r="I28" i="354"/>
  <c r="D28" i="354"/>
  <c r="C28" i="354"/>
  <c r="N27" i="354"/>
  <c r="M27" i="354"/>
  <c r="L27" i="354"/>
  <c r="J27" i="354"/>
  <c r="I27" i="354"/>
  <c r="D27" i="354"/>
  <c r="C27" i="354"/>
  <c r="C26" i="354"/>
  <c r="A26" i="354"/>
  <c r="N25" i="354"/>
  <c r="M25" i="354"/>
  <c r="L25" i="354"/>
  <c r="J25" i="354"/>
  <c r="I25" i="354"/>
  <c r="D25" i="354"/>
  <c r="C25" i="354"/>
  <c r="N24" i="354"/>
  <c r="M24" i="354"/>
  <c r="L24" i="354"/>
  <c r="J24" i="354"/>
  <c r="I24" i="354"/>
  <c r="D24" i="354"/>
  <c r="C24" i="354"/>
  <c r="N23" i="354"/>
  <c r="M23" i="354"/>
  <c r="L23" i="354"/>
  <c r="J23" i="354"/>
  <c r="I23" i="354"/>
  <c r="D23" i="354"/>
  <c r="C23" i="354"/>
  <c r="N22" i="354"/>
  <c r="M22" i="354"/>
  <c r="L22" i="354"/>
  <c r="J22" i="354"/>
  <c r="I22" i="354"/>
  <c r="D22" i="354"/>
  <c r="C22" i="354"/>
  <c r="N21" i="354"/>
  <c r="M21" i="354"/>
  <c r="L21" i="354"/>
  <c r="J21" i="354"/>
  <c r="I21" i="354"/>
  <c r="D21" i="354"/>
  <c r="C21" i="354"/>
  <c r="C20" i="354"/>
  <c r="A20" i="354"/>
  <c r="C15" i="354"/>
  <c r="C14" i="354"/>
  <c r="C13" i="354"/>
  <c r="C12" i="354"/>
  <c r="E4" i="354"/>
  <c r="I6" i="354" s="1"/>
  <c r="J59" i="353"/>
  <c r="M59" i="353" s="1"/>
  <c r="I59" i="353"/>
  <c r="N59" i="353" s="1"/>
  <c r="D59" i="353"/>
  <c r="C59" i="353"/>
  <c r="J58" i="353"/>
  <c r="M58" i="353" s="1"/>
  <c r="I58" i="353"/>
  <c r="N58" i="353" s="1"/>
  <c r="D58" i="353"/>
  <c r="C58" i="353"/>
  <c r="C57" i="353"/>
  <c r="A57" i="353"/>
  <c r="J56" i="353"/>
  <c r="M56" i="353" s="1"/>
  <c r="I56" i="353"/>
  <c r="N56" i="353" s="1"/>
  <c r="D56" i="353"/>
  <c r="C56" i="353"/>
  <c r="J55" i="353"/>
  <c r="M55" i="353" s="1"/>
  <c r="I55" i="353"/>
  <c r="N55" i="353" s="1"/>
  <c r="D55" i="353"/>
  <c r="C55" i="353"/>
  <c r="N54" i="353"/>
  <c r="M54" i="353"/>
  <c r="J54" i="353"/>
  <c r="L54" i="353" s="1"/>
  <c r="I54" i="353"/>
  <c r="D54" i="353"/>
  <c r="C54" i="353"/>
  <c r="J53" i="353"/>
  <c r="M53" i="353" s="1"/>
  <c r="I53" i="353"/>
  <c r="N53" i="353" s="1"/>
  <c r="D53" i="353"/>
  <c r="C53" i="353"/>
  <c r="J52" i="353"/>
  <c r="N52" i="353" s="1"/>
  <c r="I52" i="353"/>
  <c r="D52" i="353"/>
  <c r="C52" i="353"/>
  <c r="N51" i="353"/>
  <c r="J51" i="353"/>
  <c r="M51" i="353" s="1"/>
  <c r="I51" i="353"/>
  <c r="D51" i="353"/>
  <c r="C51" i="353"/>
  <c r="J50" i="353"/>
  <c r="M50" i="353" s="1"/>
  <c r="I50" i="353"/>
  <c r="N50" i="353" s="1"/>
  <c r="D50" i="353"/>
  <c r="C50" i="353"/>
  <c r="L49" i="353"/>
  <c r="J49" i="353"/>
  <c r="N49" i="353" s="1"/>
  <c r="I49" i="353"/>
  <c r="D49" i="353"/>
  <c r="C49" i="353"/>
  <c r="J48" i="353"/>
  <c r="M48" i="353" s="1"/>
  <c r="I48" i="353"/>
  <c r="N48" i="353" s="1"/>
  <c r="D48" i="353"/>
  <c r="C48" i="353"/>
  <c r="N47" i="353"/>
  <c r="L47" i="353"/>
  <c r="J47" i="353"/>
  <c r="M47" i="353" s="1"/>
  <c r="I47" i="353"/>
  <c r="D47" i="353"/>
  <c r="C47" i="353"/>
  <c r="J46" i="353"/>
  <c r="M46" i="353" s="1"/>
  <c r="I46" i="353"/>
  <c r="N46" i="353" s="1"/>
  <c r="D46" i="353"/>
  <c r="C46" i="353"/>
  <c r="N45" i="353"/>
  <c r="M45" i="353"/>
  <c r="L45" i="353"/>
  <c r="J45" i="353"/>
  <c r="I45" i="353"/>
  <c r="D45" i="353"/>
  <c r="C45" i="353"/>
  <c r="N44" i="353"/>
  <c r="J44" i="353"/>
  <c r="M44" i="353" s="1"/>
  <c r="I44" i="353"/>
  <c r="D44" i="353"/>
  <c r="C44" i="353"/>
  <c r="J43" i="353"/>
  <c r="M43" i="353" s="1"/>
  <c r="I43" i="353"/>
  <c r="N43" i="353" s="1"/>
  <c r="D43" i="353"/>
  <c r="C43" i="353"/>
  <c r="M42" i="353"/>
  <c r="L42" i="353"/>
  <c r="J42" i="353"/>
  <c r="N42" i="353" s="1"/>
  <c r="I42" i="353"/>
  <c r="D42" i="353"/>
  <c r="C42" i="353"/>
  <c r="C41" i="353"/>
  <c r="A41" i="353"/>
  <c r="J40" i="353"/>
  <c r="M40" i="353" s="1"/>
  <c r="I40" i="353"/>
  <c r="N40" i="353" s="1"/>
  <c r="D40" i="353"/>
  <c r="C40" i="353"/>
  <c r="M39" i="353"/>
  <c r="L39" i="353"/>
  <c r="J39" i="353"/>
  <c r="N39" i="353" s="1"/>
  <c r="I39" i="353"/>
  <c r="D39" i="353"/>
  <c r="C39" i="353"/>
  <c r="N38" i="353"/>
  <c r="J38" i="353"/>
  <c r="L38" i="353" s="1"/>
  <c r="I38" i="353"/>
  <c r="M38" i="353" s="1"/>
  <c r="D38" i="353"/>
  <c r="C38" i="353"/>
  <c r="J37" i="353"/>
  <c r="M37" i="353" s="1"/>
  <c r="I37" i="353"/>
  <c r="N37" i="353" s="1"/>
  <c r="D37" i="353"/>
  <c r="C37" i="353"/>
  <c r="J36" i="353"/>
  <c r="M36" i="353" s="1"/>
  <c r="I36" i="353"/>
  <c r="D36" i="353"/>
  <c r="C36" i="353"/>
  <c r="N35" i="353"/>
  <c r="M35" i="353"/>
  <c r="J35" i="353"/>
  <c r="L35" i="353" s="1"/>
  <c r="I35" i="353"/>
  <c r="D35" i="353"/>
  <c r="C35" i="353"/>
  <c r="J34" i="353"/>
  <c r="M34" i="353" s="1"/>
  <c r="I34" i="353"/>
  <c r="N34" i="353" s="1"/>
  <c r="D34" i="353"/>
  <c r="C34" i="353"/>
  <c r="J33" i="353"/>
  <c r="N33" i="353" s="1"/>
  <c r="I33" i="353"/>
  <c r="D33" i="353"/>
  <c r="C33" i="353"/>
  <c r="N32" i="353"/>
  <c r="M32" i="353"/>
  <c r="L32" i="353"/>
  <c r="J32" i="353"/>
  <c r="I32" i="353"/>
  <c r="D32" i="353"/>
  <c r="C32" i="353"/>
  <c r="J31" i="353"/>
  <c r="M31" i="353" s="1"/>
  <c r="I31" i="353"/>
  <c r="N31" i="353" s="1"/>
  <c r="D31" i="353"/>
  <c r="C31" i="353"/>
  <c r="L30" i="353"/>
  <c r="J30" i="353"/>
  <c r="M30" i="353" s="1"/>
  <c r="I30" i="353"/>
  <c r="N30" i="353" s="1"/>
  <c r="D30" i="353"/>
  <c r="C30" i="353"/>
  <c r="M29" i="353"/>
  <c r="L29" i="353"/>
  <c r="J29" i="353"/>
  <c r="I29" i="353"/>
  <c r="N29" i="353" s="1"/>
  <c r="D29" i="353"/>
  <c r="C29" i="353"/>
  <c r="N28" i="353"/>
  <c r="L28" i="353"/>
  <c r="J28" i="353"/>
  <c r="M28" i="353" s="1"/>
  <c r="I28" i="353"/>
  <c r="D28" i="353"/>
  <c r="C28" i="353"/>
  <c r="J27" i="353"/>
  <c r="M27" i="353" s="1"/>
  <c r="I27" i="353"/>
  <c r="N27" i="353" s="1"/>
  <c r="D27" i="353"/>
  <c r="C27" i="353"/>
  <c r="C26" i="353"/>
  <c r="A26" i="353"/>
  <c r="N25" i="353"/>
  <c r="L25" i="353"/>
  <c r="J25" i="353"/>
  <c r="M25" i="353" s="1"/>
  <c r="I25" i="353"/>
  <c r="D25" i="353"/>
  <c r="C25" i="353"/>
  <c r="J24" i="353"/>
  <c r="M24" i="353" s="1"/>
  <c r="I24" i="353"/>
  <c r="N24" i="353" s="1"/>
  <c r="D24" i="353"/>
  <c r="C24" i="353"/>
  <c r="N23" i="353"/>
  <c r="M23" i="353"/>
  <c r="L23" i="353"/>
  <c r="J23" i="353"/>
  <c r="I23" i="353"/>
  <c r="D23" i="353"/>
  <c r="C23" i="353"/>
  <c r="N22" i="353"/>
  <c r="M22" i="353"/>
  <c r="J22" i="353"/>
  <c r="L22" i="353" s="1"/>
  <c r="I22" i="353"/>
  <c r="D22" i="353"/>
  <c r="C22" i="353"/>
  <c r="J21" i="353"/>
  <c r="M21" i="353" s="1"/>
  <c r="I21" i="353"/>
  <c r="N21" i="353" s="1"/>
  <c r="D21" i="353"/>
  <c r="C21" i="353"/>
  <c r="C20" i="353"/>
  <c r="A20" i="353"/>
  <c r="C15" i="353"/>
  <c r="C14" i="353"/>
  <c r="C13" i="353"/>
  <c r="C12" i="353"/>
  <c r="E4" i="353"/>
  <c r="I6" i="353" s="1"/>
  <c r="J59" i="352"/>
  <c r="M59" i="352" s="1"/>
  <c r="I59" i="352"/>
  <c r="D59" i="352"/>
  <c r="C59" i="352"/>
  <c r="J58" i="352"/>
  <c r="M58" i="352" s="1"/>
  <c r="I58" i="352"/>
  <c r="N58" i="352" s="1"/>
  <c r="D58" i="352"/>
  <c r="C58" i="352"/>
  <c r="C57" i="352"/>
  <c r="A57" i="352"/>
  <c r="J56" i="352"/>
  <c r="M56" i="352" s="1"/>
  <c r="I56" i="352"/>
  <c r="N56" i="352" s="1"/>
  <c r="D56" i="352"/>
  <c r="C56" i="352"/>
  <c r="J55" i="352"/>
  <c r="M55" i="352" s="1"/>
  <c r="I55" i="352"/>
  <c r="N55" i="352" s="1"/>
  <c r="D55" i="352"/>
  <c r="C55" i="352"/>
  <c r="N54" i="352"/>
  <c r="M54" i="352"/>
  <c r="J54" i="352"/>
  <c r="L54" i="352" s="1"/>
  <c r="I54" i="352"/>
  <c r="D54" i="352"/>
  <c r="C54" i="352"/>
  <c r="N53" i="352"/>
  <c r="J53" i="352"/>
  <c r="M53" i="352" s="1"/>
  <c r="I53" i="352"/>
  <c r="D53" i="352"/>
  <c r="C53" i="352"/>
  <c r="J52" i="352"/>
  <c r="N52" i="352" s="1"/>
  <c r="I52" i="352"/>
  <c r="D52" i="352"/>
  <c r="C52" i="352"/>
  <c r="N51" i="352"/>
  <c r="M51" i="352"/>
  <c r="L51" i="352"/>
  <c r="J51" i="352"/>
  <c r="I51" i="352"/>
  <c r="D51" i="352"/>
  <c r="C51" i="352"/>
  <c r="J50" i="352"/>
  <c r="M50" i="352" s="1"/>
  <c r="I50" i="352"/>
  <c r="N50" i="352" s="1"/>
  <c r="D50" i="352"/>
  <c r="C50" i="352"/>
  <c r="L49" i="352"/>
  <c r="J49" i="352"/>
  <c r="M49" i="352" s="1"/>
  <c r="I49" i="352"/>
  <c r="N49" i="352" s="1"/>
  <c r="D49" i="352"/>
  <c r="C49" i="352"/>
  <c r="J48" i="352"/>
  <c r="M48" i="352" s="1"/>
  <c r="I48" i="352"/>
  <c r="N48" i="352" s="1"/>
  <c r="D48" i="352"/>
  <c r="C48" i="352"/>
  <c r="N47" i="352"/>
  <c r="L47" i="352"/>
  <c r="J47" i="352"/>
  <c r="I47" i="352"/>
  <c r="M47" i="352" s="1"/>
  <c r="D47" i="352"/>
  <c r="C47" i="352"/>
  <c r="J46" i="352"/>
  <c r="M46" i="352" s="1"/>
  <c r="I46" i="352"/>
  <c r="N46" i="352" s="1"/>
  <c r="D46" i="352"/>
  <c r="C46" i="352"/>
  <c r="N45" i="352"/>
  <c r="M45" i="352"/>
  <c r="L45" i="352"/>
  <c r="J45" i="352"/>
  <c r="I45" i="352"/>
  <c r="D45" i="352"/>
  <c r="C45" i="352"/>
  <c r="N44" i="352"/>
  <c r="M44" i="352"/>
  <c r="J44" i="352"/>
  <c r="L44" i="352" s="1"/>
  <c r="I44" i="352"/>
  <c r="D44" i="352"/>
  <c r="C44" i="352"/>
  <c r="L43" i="352"/>
  <c r="J43" i="352"/>
  <c r="M43" i="352" s="1"/>
  <c r="I43" i="352"/>
  <c r="N43" i="352" s="1"/>
  <c r="D43" i="352"/>
  <c r="C43" i="352"/>
  <c r="J42" i="352"/>
  <c r="N42" i="352" s="1"/>
  <c r="I42" i="352"/>
  <c r="D42" i="352"/>
  <c r="C42" i="352"/>
  <c r="C41" i="352"/>
  <c r="A41" i="352"/>
  <c r="L40" i="352"/>
  <c r="J40" i="352"/>
  <c r="M40" i="352" s="1"/>
  <c r="I40" i="352"/>
  <c r="N40" i="352" s="1"/>
  <c r="D40" i="352"/>
  <c r="C40" i="352"/>
  <c r="J39" i="352"/>
  <c r="N39" i="352" s="1"/>
  <c r="I39" i="352"/>
  <c r="D39" i="352"/>
  <c r="C39" i="352"/>
  <c r="J38" i="352"/>
  <c r="M38" i="352" s="1"/>
  <c r="I38" i="352"/>
  <c r="N38" i="352" s="1"/>
  <c r="D38" i="352"/>
  <c r="C38" i="352"/>
  <c r="J37" i="352"/>
  <c r="M37" i="352" s="1"/>
  <c r="I37" i="352"/>
  <c r="N37" i="352" s="1"/>
  <c r="D37" i="352"/>
  <c r="C37" i="352"/>
  <c r="J36" i="352"/>
  <c r="M36" i="352" s="1"/>
  <c r="I36" i="352"/>
  <c r="N36" i="352" s="1"/>
  <c r="D36" i="352"/>
  <c r="C36" i="352"/>
  <c r="M35" i="352"/>
  <c r="J35" i="352"/>
  <c r="L35" i="352" s="1"/>
  <c r="I35" i="352"/>
  <c r="D35" i="352"/>
  <c r="C35" i="352"/>
  <c r="N34" i="352"/>
  <c r="J34" i="352"/>
  <c r="M34" i="352" s="1"/>
  <c r="I34" i="352"/>
  <c r="D34" i="352"/>
  <c r="C34" i="352"/>
  <c r="J33" i="352"/>
  <c r="N33" i="352" s="1"/>
  <c r="I33" i="352"/>
  <c r="D33" i="352"/>
  <c r="C33" i="352"/>
  <c r="N32" i="352"/>
  <c r="M32" i="352"/>
  <c r="L32" i="352"/>
  <c r="J32" i="352"/>
  <c r="I32" i="352"/>
  <c r="D32" i="352"/>
  <c r="C32" i="352"/>
  <c r="J31" i="352"/>
  <c r="M31" i="352" s="1"/>
  <c r="I31" i="352"/>
  <c r="N31" i="352" s="1"/>
  <c r="D31" i="352"/>
  <c r="C31" i="352"/>
  <c r="L30" i="352"/>
  <c r="J30" i="352"/>
  <c r="M30" i="352" s="1"/>
  <c r="I30" i="352"/>
  <c r="N30" i="352" s="1"/>
  <c r="D30" i="352"/>
  <c r="C30" i="352"/>
  <c r="J29" i="352"/>
  <c r="L29" i="352" s="1"/>
  <c r="I29" i="352"/>
  <c r="N29" i="352" s="1"/>
  <c r="D29" i="352"/>
  <c r="C29" i="352"/>
  <c r="N28" i="352"/>
  <c r="L28" i="352"/>
  <c r="J28" i="352"/>
  <c r="I28" i="352"/>
  <c r="M28" i="352" s="1"/>
  <c r="D28" i="352"/>
  <c r="C28" i="352"/>
  <c r="J27" i="352"/>
  <c r="M27" i="352" s="1"/>
  <c r="I27" i="352"/>
  <c r="N27" i="352" s="1"/>
  <c r="D27" i="352"/>
  <c r="C27" i="352"/>
  <c r="C26" i="352"/>
  <c r="A26" i="352"/>
  <c r="N25" i="352"/>
  <c r="L25" i="352"/>
  <c r="J25" i="352"/>
  <c r="I25" i="352"/>
  <c r="M25" i="352" s="1"/>
  <c r="D25" i="352"/>
  <c r="C25" i="352"/>
  <c r="J24" i="352"/>
  <c r="M24" i="352" s="1"/>
  <c r="I24" i="352"/>
  <c r="N24" i="352" s="1"/>
  <c r="D24" i="352"/>
  <c r="C24" i="352"/>
  <c r="N23" i="352"/>
  <c r="L23" i="352"/>
  <c r="J23" i="352"/>
  <c r="M23" i="352" s="1"/>
  <c r="I23" i="352"/>
  <c r="D23" i="352"/>
  <c r="C23" i="352"/>
  <c r="N22" i="352"/>
  <c r="M22" i="352"/>
  <c r="J22" i="352"/>
  <c r="L22" i="352" s="1"/>
  <c r="I22" i="352"/>
  <c r="D22" i="352"/>
  <c r="C22" i="352"/>
  <c r="L21" i="352"/>
  <c r="J21" i="352"/>
  <c r="I21" i="352"/>
  <c r="N21" i="352" s="1"/>
  <c r="D21" i="352"/>
  <c r="C21" i="352"/>
  <c r="C20" i="352"/>
  <c r="A20" i="352"/>
  <c r="C15" i="352"/>
  <c r="C14" i="352"/>
  <c r="C13" i="352"/>
  <c r="C12" i="352"/>
  <c r="E4" i="352"/>
  <c r="I6" i="352" s="1"/>
  <c r="J59" i="351"/>
  <c r="M59" i="351" s="1"/>
  <c r="I59" i="351"/>
  <c r="D59" i="351"/>
  <c r="C59" i="351"/>
  <c r="J58" i="351"/>
  <c r="M58" i="351" s="1"/>
  <c r="I58" i="351"/>
  <c r="N58" i="351" s="1"/>
  <c r="D58" i="351"/>
  <c r="C58" i="351"/>
  <c r="C57" i="351"/>
  <c r="A57" i="351"/>
  <c r="J56" i="351"/>
  <c r="M56" i="351" s="1"/>
  <c r="I56" i="351"/>
  <c r="N56" i="351" s="1"/>
  <c r="D56" i="351"/>
  <c r="C56" i="351"/>
  <c r="J55" i="351"/>
  <c r="M55" i="351" s="1"/>
  <c r="I55" i="351"/>
  <c r="N55" i="351" s="1"/>
  <c r="D55" i="351"/>
  <c r="C55" i="351"/>
  <c r="N54" i="351"/>
  <c r="M54" i="351"/>
  <c r="J54" i="351"/>
  <c r="L54" i="351" s="1"/>
  <c r="I54" i="351"/>
  <c r="D54" i="351"/>
  <c r="C54" i="351"/>
  <c r="J53" i="351"/>
  <c r="M53" i="351" s="1"/>
  <c r="I53" i="351"/>
  <c r="N53" i="351" s="1"/>
  <c r="D53" i="351"/>
  <c r="C53" i="351"/>
  <c r="J52" i="351"/>
  <c r="N52" i="351" s="1"/>
  <c r="I52" i="351"/>
  <c r="D52" i="351"/>
  <c r="C52" i="351"/>
  <c r="N51" i="351"/>
  <c r="M51" i="351"/>
  <c r="J51" i="351"/>
  <c r="L51" i="351" s="1"/>
  <c r="I51" i="351"/>
  <c r="D51" i="351"/>
  <c r="C51" i="351"/>
  <c r="L50" i="351"/>
  <c r="J50" i="351"/>
  <c r="M50" i="351" s="1"/>
  <c r="I50" i="351"/>
  <c r="N50" i="351" s="1"/>
  <c r="D50" i="351"/>
  <c r="C50" i="351"/>
  <c r="J49" i="351"/>
  <c r="N49" i="351" s="1"/>
  <c r="I49" i="351"/>
  <c r="D49" i="351"/>
  <c r="C49" i="351"/>
  <c r="J48" i="351"/>
  <c r="M48" i="351" s="1"/>
  <c r="I48" i="351"/>
  <c r="N48" i="351" s="1"/>
  <c r="D48" i="351"/>
  <c r="C48" i="351"/>
  <c r="N47" i="351"/>
  <c r="L47" i="351"/>
  <c r="J47" i="351"/>
  <c r="M47" i="351" s="1"/>
  <c r="I47" i="351"/>
  <c r="D47" i="351"/>
  <c r="C47" i="351"/>
  <c r="J46" i="351"/>
  <c r="M46" i="351" s="1"/>
  <c r="I46" i="351"/>
  <c r="N46" i="351" s="1"/>
  <c r="D46" i="351"/>
  <c r="C46" i="351"/>
  <c r="N45" i="351"/>
  <c r="M45" i="351"/>
  <c r="L45" i="351"/>
  <c r="J45" i="351"/>
  <c r="I45" i="351"/>
  <c r="D45" i="351"/>
  <c r="C45" i="351"/>
  <c r="N44" i="351"/>
  <c r="M44" i="351"/>
  <c r="L44" i="351"/>
  <c r="J44" i="351"/>
  <c r="I44" i="351"/>
  <c r="D44" i="351"/>
  <c r="C44" i="351"/>
  <c r="J43" i="351"/>
  <c r="M43" i="351" s="1"/>
  <c r="I43" i="351"/>
  <c r="N43" i="351" s="1"/>
  <c r="D43" i="351"/>
  <c r="C43" i="351"/>
  <c r="M42" i="351"/>
  <c r="L42" i="351"/>
  <c r="J42" i="351"/>
  <c r="I42" i="351"/>
  <c r="N42" i="351" s="1"/>
  <c r="D42" i="351"/>
  <c r="C42" i="351"/>
  <c r="C41" i="351"/>
  <c r="A41" i="351"/>
  <c r="J40" i="351"/>
  <c r="M40" i="351" s="1"/>
  <c r="I40" i="351"/>
  <c r="N40" i="351" s="1"/>
  <c r="D40" i="351"/>
  <c r="C40" i="351"/>
  <c r="M39" i="351"/>
  <c r="L39" i="351"/>
  <c r="J39" i="351"/>
  <c r="I39" i="351"/>
  <c r="N39" i="351" s="1"/>
  <c r="D39" i="351"/>
  <c r="C39" i="351"/>
  <c r="J38" i="351"/>
  <c r="M38" i="351" s="1"/>
  <c r="I38" i="351"/>
  <c r="N38" i="351" s="1"/>
  <c r="D38" i="351"/>
  <c r="C38" i="351"/>
  <c r="J37" i="351"/>
  <c r="M37" i="351" s="1"/>
  <c r="I37" i="351"/>
  <c r="N37" i="351" s="1"/>
  <c r="D37" i="351"/>
  <c r="C37" i="351"/>
  <c r="J36" i="351"/>
  <c r="M36" i="351" s="1"/>
  <c r="I36" i="351"/>
  <c r="N36" i="351" s="1"/>
  <c r="D36" i="351"/>
  <c r="C36" i="351"/>
  <c r="J35" i="351"/>
  <c r="L35" i="351" s="1"/>
  <c r="I35" i="351"/>
  <c r="D35" i="351"/>
  <c r="C35" i="351"/>
  <c r="N34" i="351"/>
  <c r="J34" i="351"/>
  <c r="M34" i="351" s="1"/>
  <c r="I34" i="351"/>
  <c r="D34" i="351"/>
  <c r="C34" i="351"/>
  <c r="J33" i="351"/>
  <c r="N33" i="351" s="1"/>
  <c r="I33" i="351"/>
  <c r="D33" i="351"/>
  <c r="C33" i="351"/>
  <c r="N32" i="351"/>
  <c r="M32" i="351"/>
  <c r="L32" i="351"/>
  <c r="J32" i="351"/>
  <c r="I32" i="351"/>
  <c r="D32" i="351"/>
  <c r="C32" i="351"/>
  <c r="J31" i="351"/>
  <c r="M31" i="351" s="1"/>
  <c r="I31" i="351"/>
  <c r="N31" i="351" s="1"/>
  <c r="D31" i="351"/>
  <c r="C31" i="351"/>
  <c r="J30" i="351"/>
  <c r="M30" i="351" s="1"/>
  <c r="I30" i="351"/>
  <c r="N30" i="351" s="1"/>
  <c r="D30" i="351"/>
  <c r="C30" i="351"/>
  <c r="J29" i="351"/>
  <c r="M29" i="351" s="1"/>
  <c r="I29" i="351"/>
  <c r="N29" i="351" s="1"/>
  <c r="D29" i="351"/>
  <c r="C29" i="351"/>
  <c r="N28" i="351"/>
  <c r="L28" i="351"/>
  <c r="J28" i="351"/>
  <c r="M28" i="351" s="1"/>
  <c r="I28" i="351"/>
  <c r="D28" i="351"/>
  <c r="C28" i="351"/>
  <c r="J27" i="351"/>
  <c r="M27" i="351" s="1"/>
  <c r="I27" i="351"/>
  <c r="N27" i="351" s="1"/>
  <c r="D27" i="351"/>
  <c r="C27" i="351"/>
  <c r="C26" i="351"/>
  <c r="A26" i="351"/>
  <c r="N25" i="351"/>
  <c r="J25" i="351"/>
  <c r="M25" i="351" s="1"/>
  <c r="I25" i="351"/>
  <c r="D25" i="351"/>
  <c r="C25" i="351"/>
  <c r="J24" i="351"/>
  <c r="M24" i="351" s="1"/>
  <c r="I24" i="351"/>
  <c r="N24" i="351" s="1"/>
  <c r="D24" i="351"/>
  <c r="C24" i="351"/>
  <c r="J23" i="351"/>
  <c r="N23" i="351" s="1"/>
  <c r="I23" i="351"/>
  <c r="D23" i="351"/>
  <c r="C23" i="351"/>
  <c r="N22" i="351"/>
  <c r="M22" i="351"/>
  <c r="L22" i="351"/>
  <c r="J22" i="351"/>
  <c r="I22" i="351"/>
  <c r="D22" i="351"/>
  <c r="C22" i="351"/>
  <c r="J21" i="351"/>
  <c r="L21" i="351" s="1"/>
  <c r="I21" i="351"/>
  <c r="N21" i="351" s="1"/>
  <c r="D21" i="351"/>
  <c r="C21" i="351"/>
  <c r="C20" i="351"/>
  <c r="A20" i="351"/>
  <c r="C15" i="351"/>
  <c r="C14" i="351"/>
  <c r="C13" i="351"/>
  <c r="C12" i="351"/>
  <c r="E4" i="351"/>
  <c r="I6" i="351" s="1"/>
  <c r="J59" i="350"/>
  <c r="M59" i="350" s="1"/>
  <c r="I59" i="350"/>
  <c r="D59" i="350"/>
  <c r="C59" i="350"/>
  <c r="J58" i="350"/>
  <c r="M58" i="350" s="1"/>
  <c r="I58" i="350"/>
  <c r="D58" i="350"/>
  <c r="C58" i="350"/>
  <c r="C57" i="350"/>
  <c r="A57" i="350"/>
  <c r="J56" i="350"/>
  <c r="M56" i="350" s="1"/>
  <c r="I56" i="350"/>
  <c r="N56" i="350" s="1"/>
  <c r="D56" i="350"/>
  <c r="C56" i="350"/>
  <c r="J55" i="350"/>
  <c r="M55" i="350" s="1"/>
  <c r="I55" i="350"/>
  <c r="N55" i="350" s="1"/>
  <c r="D55" i="350"/>
  <c r="C55" i="350"/>
  <c r="N54" i="350"/>
  <c r="M54" i="350"/>
  <c r="J54" i="350"/>
  <c r="L54" i="350" s="1"/>
  <c r="I54" i="350"/>
  <c r="D54" i="350"/>
  <c r="C54" i="350"/>
  <c r="N53" i="350"/>
  <c r="J53" i="350"/>
  <c r="M53" i="350" s="1"/>
  <c r="I53" i="350"/>
  <c r="D53" i="350"/>
  <c r="C53" i="350"/>
  <c r="J52" i="350"/>
  <c r="N52" i="350" s="1"/>
  <c r="I52" i="350"/>
  <c r="D52" i="350"/>
  <c r="C52" i="350"/>
  <c r="N51" i="350"/>
  <c r="M51" i="350"/>
  <c r="L51" i="350"/>
  <c r="J51" i="350"/>
  <c r="I51" i="350"/>
  <c r="D51" i="350"/>
  <c r="C51" i="350"/>
  <c r="J50" i="350"/>
  <c r="N50" i="350" s="1"/>
  <c r="I50" i="350"/>
  <c r="D50" i="350"/>
  <c r="C50" i="350"/>
  <c r="J49" i="350"/>
  <c r="M49" i="350" s="1"/>
  <c r="I49" i="350"/>
  <c r="N49" i="350" s="1"/>
  <c r="D49" i="350"/>
  <c r="C49" i="350"/>
  <c r="J48" i="350"/>
  <c r="M48" i="350" s="1"/>
  <c r="I48" i="350"/>
  <c r="N48" i="350" s="1"/>
  <c r="D48" i="350"/>
  <c r="C48" i="350"/>
  <c r="N47" i="350"/>
  <c r="J47" i="350"/>
  <c r="M47" i="350" s="1"/>
  <c r="I47" i="350"/>
  <c r="D47" i="350"/>
  <c r="C47" i="350"/>
  <c r="J46" i="350"/>
  <c r="M46" i="350" s="1"/>
  <c r="I46" i="350"/>
  <c r="N46" i="350" s="1"/>
  <c r="D46" i="350"/>
  <c r="C46" i="350"/>
  <c r="N45" i="350"/>
  <c r="M45" i="350"/>
  <c r="L45" i="350"/>
  <c r="J45" i="350"/>
  <c r="I45" i="350"/>
  <c r="D45" i="350"/>
  <c r="C45" i="350"/>
  <c r="N44" i="350"/>
  <c r="M44" i="350"/>
  <c r="J44" i="350"/>
  <c r="L44" i="350" s="1"/>
  <c r="I44" i="350"/>
  <c r="D44" i="350"/>
  <c r="C44" i="350"/>
  <c r="J43" i="350"/>
  <c r="L43" i="350" s="1"/>
  <c r="I43" i="350"/>
  <c r="N43" i="350" s="1"/>
  <c r="D43" i="350"/>
  <c r="C43" i="350"/>
  <c r="J42" i="350"/>
  <c r="N42" i="350" s="1"/>
  <c r="I42" i="350"/>
  <c r="D42" i="350"/>
  <c r="C42" i="350"/>
  <c r="C41" i="350"/>
  <c r="A41" i="350"/>
  <c r="L40" i="350"/>
  <c r="J40" i="350"/>
  <c r="I40" i="350"/>
  <c r="D40" i="350"/>
  <c r="C40" i="350"/>
  <c r="J39" i="350"/>
  <c r="N39" i="350" s="1"/>
  <c r="I39" i="350"/>
  <c r="D39" i="350"/>
  <c r="C39" i="350"/>
  <c r="J38" i="350"/>
  <c r="M38" i="350" s="1"/>
  <c r="I38" i="350"/>
  <c r="N38" i="350" s="1"/>
  <c r="D38" i="350"/>
  <c r="C38" i="350"/>
  <c r="J37" i="350"/>
  <c r="M37" i="350" s="1"/>
  <c r="I37" i="350"/>
  <c r="N37" i="350" s="1"/>
  <c r="D37" i="350"/>
  <c r="C37" i="350"/>
  <c r="J36" i="350"/>
  <c r="M36" i="350" s="1"/>
  <c r="I36" i="350"/>
  <c r="D36" i="350"/>
  <c r="C36" i="350"/>
  <c r="N35" i="350"/>
  <c r="M35" i="350"/>
  <c r="J35" i="350"/>
  <c r="L35" i="350" s="1"/>
  <c r="I35" i="350"/>
  <c r="D35" i="350"/>
  <c r="C35" i="350"/>
  <c r="J34" i="350"/>
  <c r="M34" i="350" s="1"/>
  <c r="I34" i="350"/>
  <c r="D34" i="350"/>
  <c r="C34" i="350"/>
  <c r="J33" i="350"/>
  <c r="N33" i="350" s="1"/>
  <c r="I33" i="350"/>
  <c r="D33" i="350"/>
  <c r="C33" i="350"/>
  <c r="N32" i="350"/>
  <c r="M32" i="350"/>
  <c r="L32" i="350"/>
  <c r="J32" i="350"/>
  <c r="I32" i="350"/>
  <c r="D32" i="350"/>
  <c r="C32" i="350"/>
  <c r="J31" i="350"/>
  <c r="N31" i="350" s="1"/>
  <c r="I31" i="350"/>
  <c r="D31" i="350"/>
  <c r="C31" i="350"/>
  <c r="J30" i="350"/>
  <c r="M30" i="350" s="1"/>
  <c r="I30" i="350"/>
  <c r="N30" i="350" s="1"/>
  <c r="D30" i="350"/>
  <c r="C30" i="350"/>
  <c r="J29" i="350"/>
  <c r="M29" i="350" s="1"/>
  <c r="I29" i="350"/>
  <c r="N29" i="350" s="1"/>
  <c r="D29" i="350"/>
  <c r="C29" i="350"/>
  <c r="N28" i="350"/>
  <c r="J28" i="350"/>
  <c r="M28" i="350" s="1"/>
  <c r="I28" i="350"/>
  <c r="D28" i="350"/>
  <c r="C28" i="350"/>
  <c r="J27" i="350"/>
  <c r="M27" i="350" s="1"/>
  <c r="I27" i="350"/>
  <c r="N27" i="350" s="1"/>
  <c r="D27" i="350"/>
  <c r="C27" i="350"/>
  <c r="C26" i="350"/>
  <c r="A26" i="350"/>
  <c r="J25" i="350"/>
  <c r="M25" i="350" s="1"/>
  <c r="I25" i="350"/>
  <c r="D25" i="350"/>
  <c r="C25" i="350"/>
  <c r="J24" i="350"/>
  <c r="M24" i="350" s="1"/>
  <c r="I24" i="350"/>
  <c r="N24" i="350" s="1"/>
  <c r="D24" i="350"/>
  <c r="C24" i="350"/>
  <c r="J23" i="350"/>
  <c r="N23" i="350" s="1"/>
  <c r="I23" i="350"/>
  <c r="D23" i="350"/>
  <c r="C23" i="350"/>
  <c r="J22" i="350"/>
  <c r="L22" i="350" s="1"/>
  <c r="I22" i="350"/>
  <c r="D22" i="350"/>
  <c r="C22" i="350"/>
  <c r="J21" i="350"/>
  <c r="L21" i="350" s="1"/>
  <c r="I21" i="350"/>
  <c r="D21" i="350"/>
  <c r="C21" i="350"/>
  <c r="C20" i="350"/>
  <c r="A20" i="350"/>
  <c r="C15" i="350"/>
  <c r="C14" i="350"/>
  <c r="C13" i="350"/>
  <c r="C12" i="350"/>
  <c r="E4" i="350"/>
  <c r="I6" i="350" s="1"/>
  <c r="J59" i="349"/>
  <c r="M59" i="349" s="1"/>
  <c r="I59" i="349"/>
  <c r="D59" i="349"/>
  <c r="C59" i="349"/>
  <c r="J58" i="349"/>
  <c r="M58" i="349" s="1"/>
  <c r="I58" i="349"/>
  <c r="N58" i="349" s="1"/>
  <c r="D58" i="349"/>
  <c r="C58" i="349"/>
  <c r="C57" i="349"/>
  <c r="A57" i="349"/>
  <c r="J56" i="349"/>
  <c r="M56" i="349" s="1"/>
  <c r="I56" i="349"/>
  <c r="N56" i="349" s="1"/>
  <c r="D56" i="349"/>
  <c r="C56" i="349"/>
  <c r="J55" i="349"/>
  <c r="M55" i="349" s="1"/>
  <c r="I55" i="349"/>
  <c r="N55" i="349" s="1"/>
  <c r="D55" i="349"/>
  <c r="C55" i="349"/>
  <c r="N54" i="349"/>
  <c r="M54" i="349"/>
  <c r="J54" i="349"/>
  <c r="L54" i="349" s="1"/>
  <c r="I54" i="349"/>
  <c r="D54" i="349"/>
  <c r="C54" i="349"/>
  <c r="J53" i="349"/>
  <c r="M53" i="349" s="1"/>
  <c r="I53" i="349"/>
  <c r="N53" i="349" s="1"/>
  <c r="D53" i="349"/>
  <c r="C53" i="349"/>
  <c r="J52" i="349"/>
  <c r="N52" i="349" s="1"/>
  <c r="I52" i="349"/>
  <c r="D52" i="349"/>
  <c r="C52" i="349"/>
  <c r="N51" i="349"/>
  <c r="J51" i="349"/>
  <c r="M51" i="349" s="1"/>
  <c r="I51" i="349"/>
  <c r="D51" i="349"/>
  <c r="C51" i="349"/>
  <c r="J50" i="349"/>
  <c r="L50" i="349" s="1"/>
  <c r="I50" i="349"/>
  <c r="N50" i="349" s="1"/>
  <c r="D50" i="349"/>
  <c r="C50" i="349"/>
  <c r="N49" i="349"/>
  <c r="M49" i="349"/>
  <c r="L49" i="349"/>
  <c r="J49" i="349"/>
  <c r="I49" i="349"/>
  <c r="D49" i="349"/>
  <c r="C49" i="349"/>
  <c r="J48" i="349"/>
  <c r="M48" i="349" s="1"/>
  <c r="I48" i="349"/>
  <c r="N48" i="349" s="1"/>
  <c r="D48" i="349"/>
  <c r="C48" i="349"/>
  <c r="N47" i="349"/>
  <c r="J47" i="349"/>
  <c r="M47" i="349" s="1"/>
  <c r="I47" i="349"/>
  <c r="D47" i="349"/>
  <c r="C47" i="349"/>
  <c r="J46" i="349"/>
  <c r="M46" i="349" s="1"/>
  <c r="I46" i="349"/>
  <c r="N46" i="349" s="1"/>
  <c r="D46" i="349"/>
  <c r="C46" i="349"/>
  <c r="M45" i="349"/>
  <c r="L45" i="349"/>
  <c r="J45" i="349"/>
  <c r="I45" i="349"/>
  <c r="N45" i="349" s="1"/>
  <c r="D45" i="349"/>
  <c r="C45" i="349"/>
  <c r="J44" i="349"/>
  <c r="M44" i="349" s="1"/>
  <c r="I44" i="349"/>
  <c r="N44" i="349" s="1"/>
  <c r="D44" i="349"/>
  <c r="C44" i="349"/>
  <c r="J43" i="349"/>
  <c r="M43" i="349" s="1"/>
  <c r="I43" i="349"/>
  <c r="N43" i="349" s="1"/>
  <c r="D43" i="349"/>
  <c r="C43" i="349"/>
  <c r="N42" i="349"/>
  <c r="M42" i="349"/>
  <c r="L42" i="349"/>
  <c r="J42" i="349"/>
  <c r="I42" i="349"/>
  <c r="D42" i="349"/>
  <c r="C42" i="349"/>
  <c r="C41" i="349"/>
  <c r="A41" i="349"/>
  <c r="J40" i="349"/>
  <c r="M40" i="349" s="1"/>
  <c r="I40" i="349"/>
  <c r="N40" i="349" s="1"/>
  <c r="D40" i="349"/>
  <c r="C40" i="349"/>
  <c r="N39" i="349"/>
  <c r="M39" i="349"/>
  <c r="L39" i="349"/>
  <c r="J39" i="349"/>
  <c r="I39" i="349"/>
  <c r="D39" i="349"/>
  <c r="C39" i="349"/>
  <c r="N38" i="349"/>
  <c r="M38" i="349"/>
  <c r="L38" i="349"/>
  <c r="J38" i="349"/>
  <c r="I38" i="349"/>
  <c r="D38" i="349"/>
  <c r="C38" i="349"/>
  <c r="J37" i="349"/>
  <c r="M37" i="349" s="1"/>
  <c r="I37" i="349"/>
  <c r="N37" i="349" s="1"/>
  <c r="D37" i="349"/>
  <c r="C37" i="349"/>
  <c r="J36" i="349"/>
  <c r="M36" i="349" s="1"/>
  <c r="I36" i="349"/>
  <c r="N36" i="349" s="1"/>
  <c r="D36" i="349"/>
  <c r="C36" i="349"/>
  <c r="N35" i="349"/>
  <c r="M35" i="349"/>
  <c r="J35" i="349"/>
  <c r="L35" i="349" s="1"/>
  <c r="I35" i="349"/>
  <c r="D35" i="349"/>
  <c r="C35" i="349"/>
  <c r="J34" i="349"/>
  <c r="M34" i="349" s="1"/>
  <c r="I34" i="349"/>
  <c r="N34" i="349" s="1"/>
  <c r="D34" i="349"/>
  <c r="C34" i="349"/>
  <c r="J33" i="349"/>
  <c r="N33" i="349" s="1"/>
  <c r="I33" i="349"/>
  <c r="D33" i="349"/>
  <c r="C33" i="349"/>
  <c r="N32" i="349"/>
  <c r="M32" i="349"/>
  <c r="J32" i="349"/>
  <c r="L32" i="349" s="1"/>
  <c r="I32" i="349"/>
  <c r="D32" i="349"/>
  <c r="C32" i="349"/>
  <c r="J31" i="349"/>
  <c r="L31" i="349" s="1"/>
  <c r="I31" i="349"/>
  <c r="D31" i="349"/>
  <c r="C31" i="349"/>
  <c r="J30" i="349"/>
  <c r="N30" i="349" s="1"/>
  <c r="I30" i="349"/>
  <c r="D30" i="349"/>
  <c r="C30" i="349"/>
  <c r="J29" i="349"/>
  <c r="M29" i="349" s="1"/>
  <c r="I29" i="349"/>
  <c r="D29" i="349"/>
  <c r="C29" i="349"/>
  <c r="N28" i="349"/>
  <c r="J28" i="349"/>
  <c r="M28" i="349" s="1"/>
  <c r="I28" i="349"/>
  <c r="D28" i="349"/>
  <c r="C28" i="349"/>
  <c r="J27" i="349"/>
  <c r="M27" i="349" s="1"/>
  <c r="I27" i="349"/>
  <c r="N27" i="349" s="1"/>
  <c r="D27" i="349"/>
  <c r="C27" i="349"/>
  <c r="C26" i="349"/>
  <c r="A26" i="349"/>
  <c r="N25" i="349"/>
  <c r="J25" i="349"/>
  <c r="M25" i="349" s="1"/>
  <c r="I25" i="349"/>
  <c r="D25" i="349"/>
  <c r="C25" i="349"/>
  <c r="J24" i="349"/>
  <c r="M24" i="349" s="1"/>
  <c r="I24" i="349"/>
  <c r="N24" i="349" s="1"/>
  <c r="D24" i="349"/>
  <c r="C24" i="349"/>
  <c r="M23" i="349"/>
  <c r="L23" i="349"/>
  <c r="J23" i="349"/>
  <c r="I23" i="349"/>
  <c r="N23" i="349" s="1"/>
  <c r="D23" i="349"/>
  <c r="C23" i="349"/>
  <c r="N22" i="349"/>
  <c r="J22" i="349"/>
  <c r="M22" i="349" s="1"/>
  <c r="I22" i="349"/>
  <c r="D22" i="349"/>
  <c r="C22" i="349"/>
  <c r="J21" i="349"/>
  <c r="M21" i="349" s="1"/>
  <c r="I21" i="349"/>
  <c r="N21" i="349" s="1"/>
  <c r="D21" i="349"/>
  <c r="C21" i="349"/>
  <c r="C20" i="349"/>
  <c r="A20" i="349"/>
  <c r="C15" i="349"/>
  <c r="C14" i="349"/>
  <c r="C13" i="349"/>
  <c r="C12" i="349"/>
  <c r="E4" i="349"/>
  <c r="I6" i="349" s="1"/>
  <c r="J59" i="348"/>
  <c r="M59" i="348" s="1"/>
  <c r="I59" i="348"/>
  <c r="D59" i="348"/>
  <c r="C59" i="348"/>
  <c r="J58" i="348"/>
  <c r="M58" i="348" s="1"/>
  <c r="I58" i="348"/>
  <c r="D58" i="348"/>
  <c r="C58" i="348"/>
  <c r="C57" i="348"/>
  <c r="A57" i="348"/>
  <c r="J56" i="348"/>
  <c r="M56" i="348" s="1"/>
  <c r="I56" i="348"/>
  <c r="D56" i="348"/>
  <c r="C56" i="348"/>
  <c r="J55" i="348"/>
  <c r="M55" i="348" s="1"/>
  <c r="I55" i="348"/>
  <c r="N55" i="348" s="1"/>
  <c r="D55" i="348"/>
  <c r="C55" i="348"/>
  <c r="J54" i="348"/>
  <c r="L54" i="348" s="1"/>
  <c r="I54" i="348"/>
  <c r="D54" i="348"/>
  <c r="C54" i="348"/>
  <c r="N53" i="348"/>
  <c r="J53" i="348"/>
  <c r="M53" i="348" s="1"/>
  <c r="I53" i="348"/>
  <c r="D53" i="348"/>
  <c r="C53" i="348"/>
  <c r="J52" i="348"/>
  <c r="N52" i="348" s="1"/>
  <c r="I52" i="348"/>
  <c r="D52" i="348"/>
  <c r="C52" i="348"/>
  <c r="J51" i="348"/>
  <c r="N51" i="348" s="1"/>
  <c r="I51" i="348"/>
  <c r="D51" i="348"/>
  <c r="C51" i="348"/>
  <c r="J50" i="348"/>
  <c r="M50" i="348" s="1"/>
  <c r="I50" i="348"/>
  <c r="D50" i="348"/>
  <c r="C50" i="348"/>
  <c r="J49" i="348"/>
  <c r="M49" i="348" s="1"/>
  <c r="I49" i="348"/>
  <c r="N49" i="348" s="1"/>
  <c r="D49" i="348"/>
  <c r="C49" i="348"/>
  <c r="L48" i="348"/>
  <c r="J48" i="348"/>
  <c r="M48" i="348" s="1"/>
  <c r="I48" i="348"/>
  <c r="D48" i="348"/>
  <c r="C48" i="348"/>
  <c r="N47" i="348"/>
  <c r="J47" i="348"/>
  <c r="M47" i="348" s="1"/>
  <c r="I47" i="348"/>
  <c r="D47" i="348"/>
  <c r="C47" i="348"/>
  <c r="J46" i="348"/>
  <c r="M46" i="348" s="1"/>
  <c r="I46" i="348"/>
  <c r="D46" i="348"/>
  <c r="C46" i="348"/>
  <c r="N45" i="348"/>
  <c r="M45" i="348"/>
  <c r="L45" i="348"/>
  <c r="J45" i="348"/>
  <c r="I45" i="348"/>
  <c r="D45" i="348"/>
  <c r="C45" i="348"/>
  <c r="J44" i="348"/>
  <c r="N44" i="348" s="1"/>
  <c r="I44" i="348"/>
  <c r="D44" i="348"/>
  <c r="C44" i="348"/>
  <c r="J43" i="348"/>
  <c r="M43" i="348" s="1"/>
  <c r="I43" i="348"/>
  <c r="N43" i="348" s="1"/>
  <c r="D43" i="348"/>
  <c r="C43" i="348"/>
  <c r="J42" i="348"/>
  <c r="M42" i="348" s="1"/>
  <c r="I42" i="348"/>
  <c r="D42" i="348"/>
  <c r="C42" i="348"/>
  <c r="C41" i="348"/>
  <c r="A41" i="348"/>
  <c r="J40" i="348"/>
  <c r="M40" i="348" s="1"/>
  <c r="I40" i="348"/>
  <c r="D40" i="348"/>
  <c r="C40" i="348"/>
  <c r="J39" i="348"/>
  <c r="M39" i="348" s="1"/>
  <c r="I39" i="348"/>
  <c r="D39" i="348"/>
  <c r="C39" i="348"/>
  <c r="J38" i="348"/>
  <c r="M38" i="348" s="1"/>
  <c r="I38" i="348"/>
  <c r="D38" i="348"/>
  <c r="C38" i="348"/>
  <c r="J37" i="348"/>
  <c r="M37" i="348" s="1"/>
  <c r="I37" i="348"/>
  <c r="D37" i="348"/>
  <c r="C37" i="348"/>
  <c r="J36" i="348"/>
  <c r="M36" i="348" s="1"/>
  <c r="I36" i="348"/>
  <c r="D36" i="348"/>
  <c r="C36" i="348"/>
  <c r="N35" i="348"/>
  <c r="M35" i="348"/>
  <c r="J35" i="348"/>
  <c r="L35" i="348" s="1"/>
  <c r="I35" i="348"/>
  <c r="D35" i="348"/>
  <c r="C35" i="348"/>
  <c r="J34" i="348"/>
  <c r="M34" i="348" s="1"/>
  <c r="I34" i="348"/>
  <c r="D34" i="348"/>
  <c r="C34" i="348"/>
  <c r="J33" i="348"/>
  <c r="N33" i="348" s="1"/>
  <c r="I33" i="348"/>
  <c r="D33" i="348"/>
  <c r="C33" i="348"/>
  <c r="M32" i="348"/>
  <c r="L32" i="348"/>
  <c r="J32" i="348"/>
  <c r="N32" i="348" s="1"/>
  <c r="I32" i="348"/>
  <c r="D32" i="348"/>
  <c r="C32" i="348"/>
  <c r="J31" i="348"/>
  <c r="M31" i="348" s="1"/>
  <c r="I31" i="348"/>
  <c r="D31" i="348"/>
  <c r="C31" i="348"/>
  <c r="J30" i="348"/>
  <c r="M30" i="348" s="1"/>
  <c r="I30" i="348"/>
  <c r="N30" i="348" s="1"/>
  <c r="D30" i="348"/>
  <c r="C30" i="348"/>
  <c r="J29" i="348"/>
  <c r="L29" i="348" s="1"/>
  <c r="I29" i="348"/>
  <c r="D29" i="348"/>
  <c r="C29" i="348"/>
  <c r="N28" i="348"/>
  <c r="L28" i="348"/>
  <c r="J28" i="348"/>
  <c r="M28" i="348" s="1"/>
  <c r="I28" i="348"/>
  <c r="D28" i="348"/>
  <c r="C28" i="348"/>
  <c r="J27" i="348"/>
  <c r="M27" i="348" s="1"/>
  <c r="I27" i="348"/>
  <c r="D27" i="348"/>
  <c r="C27" i="348"/>
  <c r="C26" i="348"/>
  <c r="A26" i="348"/>
  <c r="L25" i="348"/>
  <c r="J25" i="348"/>
  <c r="M25" i="348" s="1"/>
  <c r="I25" i="348"/>
  <c r="D25" i="348"/>
  <c r="C25" i="348"/>
  <c r="J24" i="348"/>
  <c r="M24" i="348" s="1"/>
  <c r="I24" i="348"/>
  <c r="N24" i="348" s="1"/>
  <c r="D24" i="348"/>
  <c r="C24" i="348"/>
  <c r="J23" i="348"/>
  <c r="N23" i="348" s="1"/>
  <c r="I23" i="348"/>
  <c r="D23" i="348"/>
  <c r="C23" i="348"/>
  <c r="J22" i="348"/>
  <c r="N22" i="348" s="1"/>
  <c r="I22" i="348"/>
  <c r="D22" i="348"/>
  <c r="C22" i="348"/>
  <c r="J21" i="348"/>
  <c r="M21" i="348" s="1"/>
  <c r="I21" i="348"/>
  <c r="N21" i="348" s="1"/>
  <c r="D21" i="348"/>
  <c r="C21" i="348"/>
  <c r="C20" i="348"/>
  <c r="A20" i="348"/>
  <c r="C15" i="348"/>
  <c r="C14" i="348"/>
  <c r="C13" i="348"/>
  <c r="C12" i="348"/>
  <c r="E4" i="348"/>
  <c r="I6" i="348" s="1"/>
  <c r="E13" i="360"/>
  <c r="E15" i="350"/>
  <c r="E14" i="355"/>
  <c r="G13" i="357"/>
  <c r="G14" i="358"/>
  <c r="E15" i="356"/>
  <c r="G13" i="358"/>
  <c r="G12" i="363"/>
  <c r="G14" i="361"/>
  <c r="G13" i="353"/>
  <c r="E12" i="353"/>
  <c r="E12" i="363"/>
  <c r="G12" i="355"/>
  <c r="H15" i="354"/>
  <c r="I12" i="356"/>
  <c r="E14" i="363"/>
  <c r="H14" i="360"/>
  <c r="I13" i="358"/>
  <c r="I12" i="355"/>
  <c r="E14" i="356"/>
  <c r="H15" i="358"/>
  <c r="H15" i="348"/>
  <c r="H13" i="354"/>
  <c r="H12" i="353"/>
  <c r="I12" i="354"/>
  <c r="I13" i="359"/>
  <c r="I13" i="360"/>
  <c r="I14" i="349"/>
  <c r="G14" i="352"/>
  <c r="G15" i="348"/>
  <c r="I13" i="362"/>
  <c r="I14" i="350"/>
  <c r="E15" i="362"/>
  <c r="H12" i="349"/>
  <c r="E15" i="357"/>
  <c r="E12" i="356"/>
  <c r="E13" i="358"/>
  <c r="E15" i="360"/>
  <c r="G13" i="355"/>
  <c r="E13" i="349"/>
  <c r="E15" i="351"/>
  <c r="E12" i="358"/>
  <c r="E14" i="358"/>
  <c r="E14" i="350"/>
  <c r="I14" i="351"/>
  <c r="E13" i="352"/>
  <c r="G15" i="362"/>
  <c r="H15" i="350"/>
  <c r="H15" i="352"/>
  <c r="I15" i="362"/>
  <c r="G14" i="357"/>
  <c r="H14" i="354"/>
  <c r="E14" i="362"/>
  <c r="I12" i="352"/>
  <c r="E13" i="348"/>
  <c r="G14" i="348"/>
  <c r="G15" i="359"/>
  <c r="G14" i="350"/>
  <c r="I14" i="360"/>
  <c r="E14" i="357"/>
  <c r="G12" i="362"/>
  <c r="G12" i="350"/>
  <c r="E13" i="355"/>
  <c r="E15" i="358"/>
  <c r="I15" i="353"/>
  <c r="G12" i="352"/>
  <c r="H15" i="355"/>
  <c r="E12" i="352"/>
  <c r="G13" i="363"/>
  <c r="I13" i="357"/>
  <c r="E15" i="359"/>
  <c r="E15" i="348"/>
  <c r="H12" i="354"/>
  <c r="E15" i="361"/>
  <c r="H15" i="356"/>
  <c r="I12" i="351"/>
  <c r="G14" i="351"/>
  <c r="E13" i="357"/>
  <c r="H12" i="360"/>
  <c r="E13" i="362"/>
  <c r="H13" i="360"/>
  <c r="I14" i="363"/>
  <c r="G15" i="356"/>
  <c r="I14" i="354"/>
  <c r="E12" i="351"/>
  <c r="E13" i="363"/>
  <c r="E14" i="351"/>
  <c r="G12" i="348"/>
  <c r="E12" i="359"/>
  <c r="G12" i="354"/>
  <c r="E14" i="353"/>
  <c r="I15" i="361"/>
  <c r="E14" i="360"/>
  <c r="E15" i="354"/>
  <c r="E12" i="349"/>
  <c r="G13" i="356"/>
  <c r="G14" i="355"/>
  <c r="G14" i="359"/>
  <c r="G15" i="363"/>
  <c r="G14" i="356"/>
  <c r="G13" i="354"/>
  <c r="E15" i="355"/>
  <c r="G15" i="355"/>
  <c r="I14" i="362"/>
  <c r="G12" i="360"/>
  <c r="G15" i="349"/>
  <c r="G14" i="362"/>
  <c r="I12" i="353"/>
  <c r="I13" i="354"/>
  <c r="G13" i="348"/>
  <c r="G12" i="349"/>
  <c r="E15" i="349"/>
  <c r="E15" i="363"/>
  <c r="H12" i="355"/>
  <c r="E13" i="350"/>
  <c r="G12" i="361"/>
  <c r="E12" i="348"/>
  <c r="G12" i="353"/>
  <c r="I12" i="361"/>
  <c r="G15" i="361"/>
  <c r="E14" i="348"/>
  <c r="I14" i="356"/>
  <c r="G13" i="361"/>
  <c r="E14" i="349"/>
  <c r="G14" i="349"/>
  <c r="I12" i="359"/>
  <c r="G12" i="351"/>
  <c r="G15" i="351"/>
  <c r="E12" i="354"/>
  <c r="G15" i="360"/>
  <c r="E13" i="361"/>
  <c r="G15" i="350"/>
  <c r="G13" i="362"/>
  <c r="I12" i="360"/>
  <c r="H15" i="363"/>
  <c r="H12" i="358"/>
  <c r="H12" i="362"/>
  <c r="G14" i="363"/>
  <c r="H15" i="359"/>
  <c r="E12" i="362"/>
  <c r="G15" i="357"/>
  <c r="E14" i="352"/>
  <c r="I15" i="357"/>
  <c r="I12" i="358"/>
  <c r="E14" i="361"/>
  <c r="G13" i="359"/>
  <c r="G12" i="359"/>
  <c r="G12" i="356"/>
  <c r="H15" i="362"/>
  <c r="I14" i="355"/>
  <c r="G13" i="352"/>
  <c r="I14" i="361"/>
  <c r="G15" i="354"/>
  <c r="I14" i="357"/>
  <c r="H15" i="351"/>
  <c r="E12" i="355"/>
  <c r="E13" i="359"/>
  <c r="G15" i="352"/>
  <c r="E15" i="352"/>
  <c r="H15" i="349"/>
  <c r="E14" i="359"/>
  <c r="G12" i="357"/>
  <c r="G14" i="354"/>
  <c r="G14" i="360"/>
  <c r="I14" i="358"/>
  <c r="G13" i="360"/>
  <c r="G13" i="350"/>
  <c r="E13" i="354"/>
  <c r="I14" i="353"/>
  <c r="I12" i="357"/>
  <c r="G12" i="358"/>
  <c r="I14" i="352"/>
  <c r="H15" i="353"/>
  <c r="E13" i="351"/>
  <c r="G14" i="353"/>
  <c r="E13" i="353"/>
  <c r="I12" i="362"/>
  <c r="E12" i="361"/>
  <c r="E13" i="356"/>
  <c r="I14" i="359"/>
  <c r="E12" i="350"/>
  <c r="I13" i="356"/>
  <c r="E14" i="354"/>
  <c r="E12" i="360"/>
  <c r="E12" i="357"/>
  <c r="E15" i="353"/>
  <c r="G13" i="351"/>
  <c r="G15" i="353"/>
  <c r="G15" i="358"/>
  <c r="I12" i="349"/>
  <c r="G13" i="349"/>
  <c r="H15" i="361"/>
  <c r="C47" i="7" l="1"/>
  <c r="C57" i="7"/>
  <c r="C55" i="7"/>
  <c r="C53" i="7"/>
  <c r="C51" i="7"/>
  <c r="C49" i="7"/>
  <c r="N59" i="354"/>
  <c r="N59" i="356"/>
  <c r="M59" i="360"/>
  <c r="N59" i="349"/>
  <c r="N59" i="350"/>
  <c r="N59" i="360"/>
  <c r="N59" i="352"/>
  <c r="N59" i="359"/>
  <c r="N59" i="363"/>
  <c r="N59" i="351"/>
  <c r="N59" i="358"/>
  <c r="N29" i="363"/>
  <c r="N27" i="363"/>
  <c r="N25" i="363"/>
  <c r="E16" i="363"/>
  <c r="G16" i="363"/>
  <c r="M35" i="363"/>
  <c r="M54" i="363"/>
  <c r="L40" i="363"/>
  <c r="L43" i="363"/>
  <c r="M21" i="363"/>
  <c r="L31" i="363"/>
  <c r="M40" i="363"/>
  <c r="M43" i="363"/>
  <c r="L50" i="363"/>
  <c r="N21" i="363"/>
  <c r="L38" i="363"/>
  <c r="I4" i="363"/>
  <c r="E5" i="363"/>
  <c r="M29" i="363"/>
  <c r="L36" i="363"/>
  <c r="L55" i="363"/>
  <c r="L58" i="363"/>
  <c r="I5" i="363"/>
  <c r="L24" i="363"/>
  <c r="L27" i="363"/>
  <c r="E6" i="363"/>
  <c r="L34" i="363"/>
  <c r="L53" i="363"/>
  <c r="L30" i="363"/>
  <c r="L49" i="363"/>
  <c r="L37" i="363"/>
  <c r="M49" i="363"/>
  <c r="L56" i="363"/>
  <c r="L59" i="363"/>
  <c r="L25" i="363"/>
  <c r="L28" i="363"/>
  <c r="L47" i="363"/>
  <c r="E16" i="362"/>
  <c r="G16" i="362"/>
  <c r="I16" i="362"/>
  <c r="L33" i="362"/>
  <c r="L52" i="362"/>
  <c r="M33" i="362"/>
  <c r="L40" i="362"/>
  <c r="L43" i="362"/>
  <c r="M52" i="362"/>
  <c r="L31" i="362"/>
  <c r="L50" i="362"/>
  <c r="L38" i="362"/>
  <c r="I4" i="362"/>
  <c r="L29" i="362"/>
  <c r="L48" i="362"/>
  <c r="E5" i="362"/>
  <c r="L55" i="362"/>
  <c r="L58" i="362"/>
  <c r="I5" i="362"/>
  <c r="L24" i="362"/>
  <c r="L27" i="362"/>
  <c r="L46" i="362"/>
  <c r="E6" i="362"/>
  <c r="L53" i="362"/>
  <c r="L39" i="362"/>
  <c r="L42" i="362"/>
  <c r="M39" i="362"/>
  <c r="M42" i="362"/>
  <c r="L37" i="362"/>
  <c r="L56" i="362"/>
  <c r="L59" i="362"/>
  <c r="E16" i="361"/>
  <c r="G16" i="361"/>
  <c r="L33" i="361"/>
  <c r="N35" i="361"/>
  <c r="L52" i="361"/>
  <c r="M33" i="361"/>
  <c r="M52" i="361"/>
  <c r="M21" i="361"/>
  <c r="L31" i="361"/>
  <c r="L50" i="361"/>
  <c r="L38" i="361"/>
  <c r="I4" i="361"/>
  <c r="L48" i="361"/>
  <c r="E5" i="361"/>
  <c r="L55" i="361"/>
  <c r="L58" i="361"/>
  <c r="I5" i="361"/>
  <c r="L24" i="361"/>
  <c r="L27" i="361"/>
  <c r="L46" i="361"/>
  <c r="E6" i="361"/>
  <c r="L34" i="361"/>
  <c r="L53" i="361"/>
  <c r="L39" i="361"/>
  <c r="L42" i="361"/>
  <c r="M39" i="361"/>
  <c r="M42" i="361"/>
  <c r="L37" i="361"/>
  <c r="L56" i="361"/>
  <c r="L59" i="361"/>
  <c r="E16" i="360"/>
  <c r="G16" i="360"/>
  <c r="I4" i="360"/>
  <c r="E5" i="360"/>
  <c r="I5" i="360"/>
  <c r="E6" i="360"/>
  <c r="E16" i="359"/>
  <c r="G16" i="359"/>
  <c r="L33" i="359"/>
  <c r="L52" i="359"/>
  <c r="M33" i="359"/>
  <c r="L40" i="359"/>
  <c r="L43" i="359"/>
  <c r="M52" i="359"/>
  <c r="M21" i="359"/>
  <c r="L38" i="359"/>
  <c r="M50" i="359"/>
  <c r="I4" i="359"/>
  <c r="L29" i="359"/>
  <c r="M38" i="359"/>
  <c r="L48" i="359"/>
  <c r="E5" i="359"/>
  <c r="L36" i="359"/>
  <c r="L55" i="359"/>
  <c r="L58" i="359"/>
  <c r="I5" i="359"/>
  <c r="L24" i="359"/>
  <c r="L27" i="359"/>
  <c r="L46" i="359"/>
  <c r="E6" i="359"/>
  <c r="L34" i="359"/>
  <c r="L53" i="359"/>
  <c r="L30" i="359"/>
  <c r="L49" i="359"/>
  <c r="M30" i="359"/>
  <c r="L37" i="359"/>
  <c r="M49" i="359"/>
  <c r="L56" i="359"/>
  <c r="L59" i="359"/>
  <c r="L25" i="359"/>
  <c r="L28" i="359"/>
  <c r="L47" i="359"/>
  <c r="E16" i="358"/>
  <c r="G16" i="358"/>
  <c r="L33" i="358"/>
  <c r="L52" i="358"/>
  <c r="M33" i="358"/>
  <c r="L40" i="358"/>
  <c r="L43" i="358"/>
  <c r="M52" i="358"/>
  <c r="L31" i="358"/>
  <c r="L50" i="358"/>
  <c r="L38" i="358"/>
  <c r="I4" i="358"/>
  <c r="E5" i="358"/>
  <c r="M29" i="358"/>
  <c r="L55" i="358"/>
  <c r="L58" i="358"/>
  <c r="I5" i="358"/>
  <c r="L24" i="358"/>
  <c r="L27" i="358"/>
  <c r="L46" i="358"/>
  <c r="E6" i="358"/>
  <c r="L53" i="358"/>
  <c r="L39" i="358"/>
  <c r="L42" i="358"/>
  <c r="L30" i="358"/>
  <c r="L49" i="358"/>
  <c r="L56" i="358"/>
  <c r="L59" i="358"/>
  <c r="L25" i="358"/>
  <c r="L28" i="358"/>
  <c r="L47" i="358"/>
  <c r="E16" i="357"/>
  <c r="G16" i="357"/>
  <c r="I16" i="357"/>
  <c r="M23" i="357"/>
  <c r="L33" i="357"/>
  <c r="L52" i="357"/>
  <c r="L38" i="357"/>
  <c r="I4" i="357"/>
  <c r="L29" i="357"/>
  <c r="M38" i="357"/>
  <c r="L48" i="357"/>
  <c r="E5" i="357"/>
  <c r="L55" i="357"/>
  <c r="L58" i="357"/>
  <c r="I5" i="357"/>
  <c r="L24" i="357"/>
  <c r="L27" i="357"/>
  <c r="L46" i="357"/>
  <c r="E6" i="357"/>
  <c r="M24" i="357"/>
  <c r="M27" i="357"/>
  <c r="M34" i="357"/>
  <c r="M53" i="357"/>
  <c r="L32" i="357"/>
  <c r="L51" i="357"/>
  <c r="M39" i="357"/>
  <c r="M42" i="357"/>
  <c r="L37" i="357"/>
  <c r="M49" i="357"/>
  <c r="L56" i="357"/>
  <c r="L59" i="357"/>
  <c r="M56" i="357"/>
  <c r="M59" i="357"/>
  <c r="E16" i="356"/>
  <c r="G16" i="356"/>
  <c r="L33" i="356"/>
  <c r="L52" i="356"/>
  <c r="M33" i="356"/>
  <c r="M52" i="356"/>
  <c r="M21" i="356"/>
  <c r="L31" i="356"/>
  <c r="L50" i="356"/>
  <c r="M31" i="356"/>
  <c r="M50" i="356"/>
  <c r="I4" i="356"/>
  <c r="M38" i="356"/>
  <c r="M29" i="356"/>
  <c r="L36" i="356"/>
  <c r="L55" i="356"/>
  <c r="L58" i="356"/>
  <c r="I5" i="356"/>
  <c r="L24" i="356"/>
  <c r="L27" i="356"/>
  <c r="L46" i="356"/>
  <c r="E5" i="356"/>
  <c r="E6" i="356"/>
  <c r="L53" i="356"/>
  <c r="L39" i="356"/>
  <c r="L42" i="356"/>
  <c r="L30" i="356"/>
  <c r="M39" i="356"/>
  <c r="M42" i="356"/>
  <c r="L49" i="356"/>
  <c r="L37" i="356"/>
  <c r="L56" i="356"/>
  <c r="L59" i="356"/>
  <c r="L25" i="356"/>
  <c r="L28" i="356"/>
  <c r="L47" i="356"/>
  <c r="N58" i="355"/>
  <c r="L36" i="352"/>
  <c r="N36" i="353"/>
  <c r="L36" i="353"/>
  <c r="M35" i="355"/>
  <c r="N35" i="355"/>
  <c r="L31" i="355"/>
  <c r="L30" i="355"/>
  <c r="M27" i="355"/>
  <c r="E6" i="355"/>
  <c r="I4" i="355"/>
  <c r="E16" i="355"/>
  <c r="G16" i="355"/>
  <c r="L52" i="355"/>
  <c r="L21" i="355"/>
  <c r="M33" i="355"/>
  <c r="L40" i="355"/>
  <c r="L43" i="355"/>
  <c r="M52" i="355"/>
  <c r="L33" i="355"/>
  <c r="L38" i="355"/>
  <c r="M29" i="355"/>
  <c r="L36" i="355"/>
  <c r="L55" i="355"/>
  <c r="L58" i="355"/>
  <c r="E5" i="355"/>
  <c r="I5" i="355"/>
  <c r="L22" i="355"/>
  <c r="L44" i="355"/>
  <c r="L32" i="355"/>
  <c r="L51" i="355"/>
  <c r="L37" i="355"/>
  <c r="L56" i="355"/>
  <c r="L59" i="355"/>
  <c r="M37" i="355"/>
  <c r="E16" i="354"/>
  <c r="G16" i="354"/>
  <c r="H16" i="354"/>
  <c r="I4" i="354"/>
  <c r="E5" i="354"/>
  <c r="I5" i="354"/>
  <c r="E6" i="354"/>
  <c r="E16" i="353"/>
  <c r="G16" i="353"/>
  <c r="L52" i="353"/>
  <c r="L21" i="353"/>
  <c r="M33" i="353"/>
  <c r="L40" i="353"/>
  <c r="L43" i="353"/>
  <c r="M52" i="353"/>
  <c r="L33" i="353"/>
  <c r="L31" i="353"/>
  <c r="L50" i="353"/>
  <c r="I4" i="353"/>
  <c r="L48" i="353"/>
  <c r="E5" i="353"/>
  <c r="L55" i="353"/>
  <c r="L58" i="353"/>
  <c r="I5" i="353"/>
  <c r="L24" i="353"/>
  <c r="L27" i="353"/>
  <c r="L46" i="353"/>
  <c r="E6" i="353"/>
  <c r="L34" i="353"/>
  <c r="L53" i="353"/>
  <c r="L44" i="353"/>
  <c r="L51" i="353"/>
  <c r="L37" i="353"/>
  <c r="M49" i="353"/>
  <c r="L56" i="353"/>
  <c r="L59" i="353"/>
  <c r="E16" i="352"/>
  <c r="G16" i="352"/>
  <c r="L33" i="352"/>
  <c r="N35" i="352"/>
  <c r="L52" i="352"/>
  <c r="M33" i="352"/>
  <c r="M52" i="352"/>
  <c r="M21" i="352"/>
  <c r="L31" i="352"/>
  <c r="L50" i="352"/>
  <c r="L38" i="352"/>
  <c r="I4" i="352"/>
  <c r="L48" i="352"/>
  <c r="M29" i="352"/>
  <c r="L55" i="352"/>
  <c r="L58" i="352"/>
  <c r="I5" i="352"/>
  <c r="L24" i="352"/>
  <c r="L27" i="352"/>
  <c r="L46" i="352"/>
  <c r="E6" i="352"/>
  <c r="L34" i="352"/>
  <c r="L53" i="352"/>
  <c r="E5" i="352"/>
  <c r="L39" i="352"/>
  <c r="L42" i="352"/>
  <c r="M39" i="352"/>
  <c r="M42" i="352"/>
  <c r="L37" i="352"/>
  <c r="L56" i="352"/>
  <c r="L59" i="352"/>
  <c r="M35" i="351"/>
  <c r="N35" i="351"/>
  <c r="L31" i="351"/>
  <c r="L25" i="351"/>
  <c r="L23" i="351"/>
  <c r="M23" i="351"/>
  <c r="E16" i="351"/>
  <c r="G16" i="351"/>
  <c r="L33" i="351"/>
  <c r="L52" i="351"/>
  <c r="M33" i="351"/>
  <c r="L40" i="351"/>
  <c r="L43" i="351"/>
  <c r="M52" i="351"/>
  <c r="M21" i="351"/>
  <c r="L38" i="351"/>
  <c r="I4" i="351"/>
  <c r="L29" i="351"/>
  <c r="L48" i="351"/>
  <c r="E5" i="351"/>
  <c r="L36" i="351"/>
  <c r="L55" i="351"/>
  <c r="L58" i="351"/>
  <c r="I5" i="351"/>
  <c r="L24" i="351"/>
  <c r="L27" i="351"/>
  <c r="L46" i="351"/>
  <c r="E6" i="351"/>
  <c r="L34" i="351"/>
  <c r="L53" i="351"/>
  <c r="L30" i="351"/>
  <c r="L49" i="351"/>
  <c r="L37" i="351"/>
  <c r="M49" i="351"/>
  <c r="L56" i="351"/>
  <c r="L59" i="351"/>
  <c r="N58" i="350"/>
  <c r="N40" i="350"/>
  <c r="N36" i="350"/>
  <c r="L34" i="350"/>
  <c r="N34" i="350"/>
  <c r="N25" i="350"/>
  <c r="L23" i="350"/>
  <c r="M23" i="350"/>
  <c r="M22" i="350"/>
  <c r="N22" i="350"/>
  <c r="N21" i="350"/>
  <c r="E16" i="350"/>
  <c r="G16" i="350"/>
  <c r="L33" i="350"/>
  <c r="L52" i="350"/>
  <c r="M33" i="350"/>
  <c r="M52" i="350"/>
  <c r="M21" i="350"/>
  <c r="L31" i="350"/>
  <c r="M40" i="350"/>
  <c r="M43" i="350"/>
  <c r="L50" i="350"/>
  <c r="M31" i="350"/>
  <c r="L38" i="350"/>
  <c r="M50" i="350"/>
  <c r="I4" i="350"/>
  <c r="L29" i="350"/>
  <c r="L48" i="350"/>
  <c r="E5" i="350"/>
  <c r="L36" i="350"/>
  <c r="L55" i="350"/>
  <c r="L58" i="350"/>
  <c r="I5" i="350"/>
  <c r="L24" i="350"/>
  <c r="L27" i="350"/>
  <c r="L46" i="350"/>
  <c r="E6" i="350"/>
  <c r="L53" i="350"/>
  <c r="L39" i="350"/>
  <c r="L42" i="350"/>
  <c r="L30" i="350"/>
  <c r="M39" i="350"/>
  <c r="M42" i="350"/>
  <c r="L49" i="350"/>
  <c r="L37" i="350"/>
  <c r="L56" i="350"/>
  <c r="L59" i="350"/>
  <c r="L25" i="350"/>
  <c r="L28" i="350"/>
  <c r="L47" i="350"/>
  <c r="L36" i="349"/>
  <c r="N31" i="349"/>
  <c r="L30" i="349"/>
  <c r="M30" i="349"/>
  <c r="N29" i="349"/>
  <c r="E16" i="349"/>
  <c r="G16" i="349"/>
  <c r="L52" i="349"/>
  <c r="L21" i="349"/>
  <c r="M33" i="349"/>
  <c r="L40" i="349"/>
  <c r="L43" i="349"/>
  <c r="M52" i="349"/>
  <c r="L33" i="349"/>
  <c r="M31" i="349"/>
  <c r="M50" i="349"/>
  <c r="I4" i="349"/>
  <c r="L29" i="349"/>
  <c r="L48" i="349"/>
  <c r="E5" i="349"/>
  <c r="L55" i="349"/>
  <c r="L58" i="349"/>
  <c r="I5" i="349"/>
  <c r="L24" i="349"/>
  <c r="L27" i="349"/>
  <c r="L46" i="349"/>
  <c r="E6" i="349"/>
  <c r="L34" i="349"/>
  <c r="L53" i="349"/>
  <c r="L22" i="349"/>
  <c r="L44" i="349"/>
  <c r="L51" i="349"/>
  <c r="L37" i="349"/>
  <c r="L56" i="349"/>
  <c r="L59" i="349"/>
  <c r="L25" i="349"/>
  <c r="L28" i="349"/>
  <c r="L47" i="349"/>
  <c r="N34" i="348"/>
  <c r="N29" i="348"/>
  <c r="L22" i="348"/>
  <c r="M22" i="348"/>
  <c r="N39" i="348"/>
  <c r="N46" i="348"/>
  <c r="N25" i="348"/>
  <c r="L46" i="348"/>
  <c r="N56" i="348"/>
  <c r="N36" i="348"/>
  <c r="N40" i="348"/>
  <c r="L44" i="348"/>
  <c r="N50" i="348"/>
  <c r="M44" i="348"/>
  <c r="L23" i="348"/>
  <c r="M23" i="348"/>
  <c r="N27" i="348"/>
  <c r="L47" i="348"/>
  <c r="N37" i="348"/>
  <c r="N58" i="348"/>
  <c r="N31" i="348"/>
  <c r="N42" i="348"/>
  <c r="L51" i="348"/>
  <c r="M54" i="348"/>
  <c r="N48" i="348"/>
  <c r="M51" i="348"/>
  <c r="N54" i="348"/>
  <c r="N38" i="348"/>
  <c r="N59" i="348"/>
  <c r="E16" i="348"/>
  <c r="G16" i="348"/>
  <c r="L33" i="348"/>
  <c r="L52" i="348"/>
  <c r="L21" i="348"/>
  <c r="M33" i="348"/>
  <c r="L40" i="348"/>
  <c r="L43" i="348"/>
  <c r="M52" i="348"/>
  <c r="L31" i="348"/>
  <c r="L50" i="348"/>
  <c r="L38" i="348"/>
  <c r="I4" i="348"/>
  <c r="E5" i="348"/>
  <c r="M29" i="348"/>
  <c r="L36" i="348"/>
  <c r="L55" i="348"/>
  <c r="L58" i="348"/>
  <c r="I5" i="348"/>
  <c r="L24" i="348"/>
  <c r="L27" i="348"/>
  <c r="E6" i="348"/>
  <c r="L34" i="348"/>
  <c r="L53" i="348"/>
  <c r="L39" i="348"/>
  <c r="L42" i="348"/>
  <c r="L30" i="348"/>
  <c r="L49" i="348"/>
  <c r="L37" i="348"/>
  <c r="L56" i="348"/>
  <c r="L59" i="348"/>
  <c r="E47" i="7"/>
  <c r="G47" i="7"/>
  <c r="E57" i="7"/>
  <c r="G57" i="7"/>
  <c r="K57" i="7"/>
  <c r="E55" i="7"/>
  <c r="G55" i="7"/>
  <c r="E53" i="7"/>
  <c r="G53" i="7"/>
  <c r="E51" i="7"/>
  <c r="G51" i="7"/>
  <c r="E49" i="7"/>
  <c r="G49" i="7"/>
  <c r="J49" i="7"/>
  <c r="H14" i="348"/>
  <c r="H14" i="363"/>
  <c r="H12" i="351"/>
  <c r="F14" i="363"/>
  <c r="I13" i="352"/>
  <c r="I15" i="354"/>
  <c r="F13" i="348"/>
  <c r="I12" i="348"/>
  <c r="I13" i="363"/>
  <c r="H13" i="356"/>
  <c r="F13" i="356"/>
  <c r="I15" i="359"/>
  <c r="I15" i="348"/>
  <c r="F12" i="352"/>
  <c r="F15" i="360"/>
  <c r="F15" i="362"/>
  <c r="I12" i="350"/>
  <c r="F14" i="355"/>
  <c r="H14" i="358"/>
  <c r="H12" i="352"/>
  <c r="H13" i="353"/>
  <c r="H13" i="361"/>
  <c r="H12" i="348"/>
  <c r="H13" i="359"/>
  <c r="H14" i="361"/>
  <c r="F14" i="348"/>
  <c r="F13" i="355"/>
  <c r="H14" i="355"/>
  <c r="H12" i="350"/>
  <c r="I13" i="349"/>
  <c r="H14" i="349"/>
  <c r="F15" i="357"/>
  <c r="F12" i="362"/>
  <c r="H13" i="362"/>
  <c r="F12" i="358"/>
  <c r="F15" i="349"/>
  <c r="F12" i="361"/>
  <c r="F13" i="352"/>
  <c r="F14" i="349"/>
  <c r="H13" i="351"/>
  <c r="H13" i="358"/>
  <c r="F13" i="363"/>
  <c r="F12" i="357"/>
  <c r="F14" i="351"/>
  <c r="I15" i="349"/>
  <c r="F12" i="354"/>
  <c r="I12" i="363"/>
  <c r="F15" i="352"/>
  <c r="F13" i="360"/>
  <c r="F13" i="349"/>
  <c r="I13" i="355"/>
  <c r="H14" i="362"/>
  <c r="F13" i="353"/>
  <c r="F15" i="353"/>
  <c r="F14" i="361"/>
  <c r="F14" i="352"/>
  <c r="F14" i="362"/>
  <c r="H13" i="363"/>
  <c r="I15" i="352"/>
  <c r="H14" i="353"/>
  <c r="H14" i="352"/>
  <c r="F13" i="351"/>
  <c r="F13" i="350"/>
  <c r="I15" i="358"/>
  <c r="I15" i="356"/>
  <c r="F14" i="359"/>
  <c r="F15" i="350"/>
  <c r="F15" i="348"/>
  <c r="F14" i="360"/>
  <c r="F13" i="359"/>
  <c r="H13" i="355"/>
  <c r="I13" i="361"/>
  <c r="F12" i="351"/>
  <c r="F12" i="348"/>
  <c r="F15" i="356"/>
  <c r="I15" i="355"/>
  <c r="H15" i="357"/>
  <c r="F14" i="357"/>
  <c r="H14" i="356"/>
  <c r="H13" i="350"/>
  <c r="F15" i="351"/>
  <c r="F15" i="359"/>
  <c r="I13" i="348"/>
  <c r="F14" i="358"/>
  <c r="H13" i="348"/>
  <c r="F14" i="353"/>
  <c r="I13" i="351"/>
  <c r="F12" i="359"/>
  <c r="I15" i="360"/>
  <c r="F13" i="358"/>
  <c r="F14" i="354"/>
  <c r="F12" i="353"/>
  <c r="I15" i="350"/>
  <c r="H15" i="360"/>
  <c r="I15" i="363"/>
  <c r="I14" i="348"/>
  <c r="F12" i="356"/>
  <c r="F13" i="362"/>
  <c r="F14" i="356"/>
  <c r="H14" i="359"/>
  <c r="H14" i="351"/>
  <c r="I13" i="353"/>
  <c r="F15" i="354"/>
  <c r="I13" i="350"/>
  <c r="F15" i="363"/>
  <c r="F15" i="361"/>
  <c r="H12" i="356"/>
  <c r="H14" i="350"/>
  <c r="I15" i="351"/>
  <c r="F13" i="354"/>
  <c r="H12" i="359"/>
  <c r="H13" i="349"/>
  <c r="F12" i="350"/>
  <c r="H13" i="352"/>
  <c r="F12" i="355"/>
  <c r="F15" i="358"/>
  <c r="F13" i="357"/>
  <c r="F12" i="349"/>
  <c r="F14" i="350"/>
  <c r="F12" i="363"/>
  <c r="H12" i="361"/>
  <c r="F15" i="355"/>
  <c r="F12" i="360"/>
  <c r="H13" i="357"/>
  <c r="H12" i="357"/>
  <c r="H14" i="357"/>
  <c r="F13" i="361"/>
  <c r="H12" i="363"/>
  <c r="I16" i="358" l="1"/>
  <c r="I16" i="359"/>
  <c r="I16" i="360"/>
  <c r="H16" i="360"/>
  <c r="I16" i="356"/>
  <c r="I16" i="354"/>
  <c r="I16" i="363"/>
  <c r="H16" i="363"/>
  <c r="F16" i="363"/>
  <c r="J12" i="363"/>
  <c r="J14" i="363"/>
  <c r="J13" i="363"/>
  <c r="J15" i="363"/>
  <c r="H16" i="362"/>
  <c r="F16" i="362"/>
  <c r="J12" i="362"/>
  <c r="J15" i="362"/>
  <c r="J14" i="362"/>
  <c r="J13" i="362"/>
  <c r="H16" i="361"/>
  <c r="I16" i="361"/>
  <c r="F16" i="361"/>
  <c r="J12" i="361"/>
  <c r="J14" i="361"/>
  <c r="J13" i="361"/>
  <c r="J15" i="361"/>
  <c r="F16" i="360"/>
  <c r="J12" i="360"/>
  <c r="J14" i="360"/>
  <c r="J13" i="360"/>
  <c r="J15" i="360"/>
  <c r="H16" i="359"/>
  <c r="F16" i="359"/>
  <c r="J12" i="359"/>
  <c r="J14" i="359"/>
  <c r="J13" i="359"/>
  <c r="J15" i="359"/>
  <c r="H16" i="358"/>
  <c r="F16" i="358"/>
  <c r="J12" i="358"/>
  <c r="J14" i="358"/>
  <c r="J15" i="358"/>
  <c r="J13" i="358"/>
  <c r="H16" i="357"/>
  <c r="J16" i="357" s="1"/>
  <c r="F16" i="357"/>
  <c r="J12" i="357"/>
  <c r="J14" i="357"/>
  <c r="J13" i="357"/>
  <c r="J15" i="357"/>
  <c r="H16" i="356"/>
  <c r="F16" i="356"/>
  <c r="J12" i="356"/>
  <c r="J14" i="356"/>
  <c r="J13" i="356"/>
  <c r="J15" i="356"/>
  <c r="I16" i="353"/>
  <c r="I16" i="355"/>
  <c r="J16" i="354"/>
  <c r="J12" i="355"/>
  <c r="F16" i="355"/>
  <c r="J14" i="355"/>
  <c r="J15" i="355"/>
  <c r="H16" i="355"/>
  <c r="J13" i="355"/>
  <c r="J12" i="354"/>
  <c r="F16" i="354"/>
  <c r="J14" i="354"/>
  <c r="J15" i="354"/>
  <c r="J13" i="354"/>
  <c r="H16" i="353"/>
  <c r="J12" i="353"/>
  <c r="F16" i="353"/>
  <c r="J15" i="353"/>
  <c r="J14" i="353"/>
  <c r="J13" i="353"/>
  <c r="H16" i="352"/>
  <c r="I16" i="352"/>
  <c r="F16" i="352"/>
  <c r="J12" i="352"/>
  <c r="J14" i="352"/>
  <c r="J15" i="352"/>
  <c r="J13" i="352"/>
  <c r="I16" i="351"/>
  <c r="H16" i="351"/>
  <c r="J12" i="351"/>
  <c r="F16" i="351"/>
  <c r="J14" i="351"/>
  <c r="J13" i="351"/>
  <c r="J15" i="351"/>
  <c r="I16" i="350"/>
  <c r="H16" i="350"/>
  <c r="F16" i="350"/>
  <c r="J12" i="350"/>
  <c r="J14" i="350"/>
  <c r="J13" i="350"/>
  <c r="J15" i="350"/>
  <c r="I16" i="349"/>
  <c r="H16" i="349"/>
  <c r="F16" i="349"/>
  <c r="J12" i="349"/>
  <c r="J15" i="349"/>
  <c r="J14" i="349"/>
  <c r="J13" i="349"/>
  <c r="I16" i="348"/>
  <c r="H16" i="348"/>
  <c r="F16" i="348"/>
  <c r="J12" i="348"/>
  <c r="J14" i="348"/>
  <c r="J13" i="348"/>
  <c r="J15" i="348"/>
  <c r="K47" i="7"/>
  <c r="J47" i="7"/>
  <c r="F47" i="7"/>
  <c r="F57" i="7"/>
  <c r="J57" i="7"/>
  <c r="K55" i="7"/>
  <c r="F55" i="7"/>
  <c r="J55" i="7"/>
  <c r="K53" i="7"/>
  <c r="J53" i="7"/>
  <c r="F53" i="7"/>
  <c r="J51" i="7"/>
  <c r="F51" i="7"/>
  <c r="K51" i="7"/>
  <c r="F49" i="7"/>
  <c r="K49" i="7"/>
  <c r="L49" i="7"/>
  <c r="H47" i="7" l="1"/>
  <c r="I47" i="7"/>
  <c r="H57" i="7"/>
  <c r="I57" i="7"/>
  <c r="J16" i="362"/>
  <c r="H55" i="7"/>
  <c r="I55" i="7"/>
  <c r="J16" i="360"/>
  <c r="H53" i="7"/>
  <c r="I53" i="7"/>
  <c r="J16" i="358"/>
  <c r="H51" i="7"/>
  <c r="I51" i="7"/>
  <c r="H49" i="7"/>
  <c r="I49" i="7"/>
  <c r="J16" i="356"/>
  <c r="J16" i="359"/>
  <c r="J16" i="363"/>
  <c r="J16" i="361"/>
  <c r="J16" i="355"/>
  <c r="J16" i="353"/>
  <c r="J16" i="352"/>
  <c r="J16" i="351"/>
  <c r="J16" i="350"/>
  <c r="J16" i="349"/>
  <c r="J16" i="348"/>
  <c r="L47" i="7"/>
  <c r="L57" i="7"/>
  <c r="L55" i="7"/>
  <c r="L53" i="7"/>
  <c r="L51" i="7"/>
  <c r="J59" i="346" l="1"/>
  <c r="M59" i="346" s="1"/>
  <c r="I59" i="346"/>
  <c r="D59" i="346"/>
  <c r="C59" i="346"/>
  <c r="J58" i="346"/>
  <c r="M58" i="346" s="1"/>
  <c r="I58" i="346"/>
  <c r="N58" i="346" s="1"/>
  <c r="D58" i="346"/>
  <c r="C58" i="346"/>
  <c r="C57" i="346"/>
  <c r="A57" i="346"/>
  <c r="L56" i="346"/>
  <c r="J56" i="346"/>
  <c r="M56" i="346" s="1"/>
  <c r="I56" i="346"/>
  <c r="N56" i="346" s="1"/>
  <c r="D56" i="346"/>
  <c r="C56" i="346"/>
  <c r="J55" i="346"/>
  <c r="M55" i="346" s="1"/>
  <c r="I55" i="346"/>
  <c r="N55" i="346" s="1"/>
  <c r="D55" i="346"/>
  <c r="C55" i="346"/>
  <c r="N54" i="346"/>
  <c r="J54" i="346"/>
  <c r="L54" i="346" s="1"/>
  <c r="I54" i="346"/>
  <c r="D54" i="346"/>
  <c r="C54" i="346"/>
  <c r="J53" i="346"/>
  <c r="M53" i="346" s="1"/>
  <c r="I53" i="346"/>
  <c r="N53" i="346" s="1"/>
  <c r="D53" i="346"/>
  <c r="C53" i="346"/>
  <c r="L52" i="346"/>
  <c r="J52" i="346"/>
  <c r="N52" i="346" s="1"/>
  <c r="I52" i="346"/>
  <c r="D52" i="346"/>
  <c r="C52" i="346"/>
  <c r="N51" i="346"/>
  <c r="J51" i="346"/>
  <c r="M51" i="346" s="1"/>
  <c r="I51" i="346"/>
  <c r="D51" i="346"/>
  <c r="C51" i="346"/>
  <c r="J50" i="346"/>
  <c r="M50" i="346" s="1"/>
  <c r="I50" i="346"/>
  <c r="N50" i="346" s="1"/>
  <c r="D50" i="346"/>
  <c r="C50" i="346"/>
  <c r="N49" i="346"/>
  <c r="M49" i="346"/>
  <c r="L49" i="346"/>
  <c r="J49" i="346"/>
  <c r="I49" i="346"/>
  <c r="D49" i="346"/>
  <c r="C49" i="346"/>
  <c r="M48" i="346"/>
  <c r="L48" i="346"/>
  <c r="J48" i="346"/>
  <c r="N48" i="346" s="1"/>
  <c r="I48" i="346"/>
  <c r="D48" i="346"/>
  <c r="C48" i="346"/>
  <c r="J47" i="346"/>
  <c r="M47" i="346" s="1"/>
  <c r="I47" i="346"/>
  <c r="N47" i="346" s="1"/>
  <c r="D47" i="346"/>
  <c r="C47" i="346"/>
  <c r="J46" i="346"/>
  <c r="M46" i="346" s="1"/>
  <c r="I46" i="346"/>
  <c r="N46" i="346" s="1"/>
  <c r="D46" i="346"/>
  <c r="C46" i="346"/>
  <c r="M45" i="346"/>
  <c r="L45" i="346"/>
  <c r="J45" i="346"/>
  <c r="I45" i="346"/>
  <c r="N45" i="346" s="1"/>
  <c r="D45" i="346"/>
  <c r="C45" i="346"/>
  <c r="L44" i="346"/>
  <c r="J44" i="346"/>
  <c r="M44" i="346" s="1"/>
  <c r="I44" i="346"/>
  <c r="N44" i="346" s="1"/>
  <c r="D44" i="346"/>
  <c r="C44" i="346"/>
  <c r="J43" i="346"/>
  <c r="N43" i="346" s="1"/>
  <c r="I43" i="346"/>
  <c r="D43" i="346"/>
  <c r="C43" i="346"/>
  <c r="N42" i="346"/>
  <c r="M42" i="346"/>
  <c r="L42" i="346"/>
  <c r="J42" i="346"/>
  <c r="I42" i="346"/>
  <c r="D42" i="346"/>
  <c r="C42" i="346"/>
  <c r="C41" i="346"/>
  <c r="A41" i="346"/>
  <c r="J40" i="346"/>
  <c r="N40" i="346" s="1"/>
  <c r="I40" i="346"/>
  <c r="D40" i="346"/>
  <c r="C40" i="346"/>
  <c r="J39" i="346"/>
  <c r="M39" i="346" s="1"/>
  <c r="I39" i="346"/>
  <c r="D39" i="346"/>
  <c r="C39" i="346"/>
  <c r="N38" i="346"/>
  <c r="M38" i="346"/>
  <c r="L38" i="346"/>
  <c r="J38" i="346"/>
  <c r="I38" i="346"/>
  <c r="D38" i="346"/>
  <c r="C38" i="346"/>
  <c r="J37" i="346"/>
  <c r="L37" i="346" s="1"/>
  <c r="I37" i="346"/>
  <c r="N37" i="346" s="1"/>
  <c r="D37" i="346"/>
  <c r="C37" i="346"/>
  <c r="J36" i="346"/>
  <c r="L36" i="346" s="1"/>
  <c r="I36" i="346"/>
  <c r="D36" i="346"/>
  <c r="C36" i="346"/>
  <c r="N35" i="346"/>
  <c r="J35" i="346"/>
  <c r="L35" i="346" s="1"/>
  <c r="I35" i="346"/>
  <c r="D35" i="346"/>
  <c r="C35" i="346"/>
  <c r="J34" i="346"/>
  <c r="M34" i="346" s="1"/>
  <c r="I34" i="346"/>
  <c r="N34" i="346" s="1"/>
  <c r="D34" i="346"/>
  <c r="C34" i="346"/>
  <c r="L33" i="346"/>
  <c r="J33" i="346"/>
  <c r="N33" i="346" s="1"/>
  <c r="I33" i="346"/>
  <c r="D33" i="346"/>
  <c r="C33" i="346"/>
  <c r="N32" i="346"/>
  <c r="M32" i="346"/>
  <c r="J32" i="346"/>
  <c r="L32" i="346" s="1"/>
  <c r="I32" i="346"/>
  <c r="D32" i="346"/>
  <c r="C32" i="346"/>
  <c r="L31" i="346"/>
  <c r="J31" i="346"/>
  <c r="I31" i="346"/>
  <c r="N31" i="346" s="1"/>
  <c r="D31" i="346"/>
  <c r="C31" i="346"/>
  <c r="J30" i="346"/>
  <c r="N30" i="346" s="1"/>
  <c r="I30" i="346"/>
  <c r="D30" i="346"/>
  <c r="C30" i="346"/>
  <c r="J29" i="346"/>
  <c r="N29" i="346" s="1"/>
  <c r="I29" i="346"/>
  <c r="D29" i="346"/>
  <c r="C29" i="346"/>
  <c r="J28" i="346"/>
  <c r="M28" i="346" s="1"/>
  <c r="I28" i="346"/>
  <c r="N28" i="346" s="1"/>
  <c r="D28" i="346"/>
  <c r="C28" i="346"/>
  <c r="J27" i="346"/>
  <c r="M27" i="346" s="1"/>
  <c r="I27" i="346"/>
  <c r="N27" i="346" s="1"/>
  <c r="D27" i="346"/>
  <c r="C27" i="346"/>
  <c r="C26" i="346"/>
  <c r="A26" i="346"/>
  <c r="J25" i="346"/>
  <c r="M25" i="346" s="1"/>
  <c r="I25" i="346"/>
  <c r="N25" i="346" s="1"/>
  <c r="D25" i="346"/>
  <c r="C25" i="346"/>
  <c r="J24" i="346"/>
  <c r="M24" i="346" s="1"/>
  <c r="I24" i="346"/>
  <c r="N24" i="346" s="1"/>
  <c r="D24" i="346"/>
  <c r="C24" i="346"/>
  <c r="J23" i="346"/>
  <c r="M23" i="346" s="1"/>
  <c r="I23" i="346"/>
  <c r="N23" i="346" s="1"/>
  <c r="D23" i="346"/>
  <c r="C23" i="346"/>
  <c r="J22" i="346"/>
  <c r="M22" i="346" s="1"/>
  <c r="I22" i="346"/>
  <c r="D22" i="346"/>
  <c r="C22" i="346"/>
  <c r="J21" i="346"/>
  <c r="N21" i="346" s="1"/>
  <c r="I21" i="346"/>
  <c r="D21" i="346"/>
  <c r="C21" i="346"/>
  <c r="C20" i="346"/>
  <c r="A20" i="346"/>
  <c r="C15" i="346"/>
  <c r="C14" i="346"/>
  <c r="C13" i="346"/>
  <c r="C12" i="346"/>
  <c r="E4" i="346"/>
  <c r="A42" i="7"/>
  <c r="C42" i="7" s="1"/>
  <c r="A43" i="7"/>
  <c r="C43" i="7" s="1"/>
  <c r="A44" i="7"/>
  <c r="C44" i="7" s="1"/>
  <c r="A45" i="7"/>
  <c r="C45" i="7" s="1"/>
  <c r="A46" i="7"/>
  <c r="C46" i="7" s="1"/>
  <c r="A48" i="7"/>
  <c r="C48" i="7" s="1"/>
  <c r="A50" i="7"/>
  <c r="C50" i="7" s="1"/>
  <c r="A52" i="7"/>
  <c r="C52" i="7" s="1"/>
  <c r="A54" i="7"/>
  <c r="C54" i="7" s="1"/>
  <c r="A56" i="7"/>
  <c r="C56" i="7" s="1"/>
  <c r="A58" i="7"/>
  <c r="C58" i="7" s="1"/>
  <c r="X4" i="8"/>
  <c r="G14" i="346"/>
  <c r="AB4" i="8"/>
  <c r="P4" i="8"/>
  <c r="E15" i="346"/>
  <c r="Y4" i="8"/>
  <c r="AA4" i="8"/>
  <c r="R4" i="8"/>
  <c r="E12" i="346"/>
  <c r="U4" i="8"/>
  <c r="I14" i="346"/>
  <c r="W4" i="8"/>
  <c r="V4" i="8"/>
  <c r="Q4" i="8"/>
  <c r="H15" i="346"/>
  <c r="E13" i="346"/>
  <c r="AC4" i="8"/>
  <c r="O4" i="8"/>
  <c r="S4" i="8"/>
  <c r="E14" i="346"/>
  <c r="G15" i="346"/>
  <c r="G13" i="346"/>
  <c r="T4" i="8"/>
  <c r="G12" i="346"/>
  <c r="Z4" i="8"/>
  <c r="N59" i="346" l="1"/>
  <c r="L59" i="346"/>
  <c r="E5" i="346"/>
  <c r="I4" i="346"/>
  <c r="N39" i="346"/>
  <c r="L39" i="346"/>
  <c r="N36" i="346"/>
  <c r="M30" i="346"/>
  <c r="L30" i="346"/>
  <c r="L29" i="346"/>
  <c r="M29" i="346"/>
  <c r="L23" i="346"/>
  <c r="L22" i="346"/>
  <c r="N22" i="346"/>
  <c r="E16" i="346"/>
  <c r="G16" i="346"/>
  <c r="L25" i="346"/>
  <c r="L28" i="346"/>
  <c r="M35" i="346"/>
  <c r="M54" i="346"/>
  <c r="L21" i="346"/>
  <c r="M33" i="346"/>
  <c r="L40" i="346"/>
  <c r="L43" i="346"/>
  <c r="M52" i="346"/>
  <c r="M21" i="346"/>
  <c r="M40" i="346"/>
  <c r="M43" i="346"/>
  <c r="L50" i="346"/>
  <c r="M31" i="346"/>
  <c r="L55" i="346"/>
  <c r="L58" i="346"/>
  <c r="M36" i="346"/>
  <c r="L46" i="346"/>
  <c r="I5" i="346"/>
  <c r="L24" i="346"/>
  <c r="L27" i="346"/>
  <c r="E6" i="346"/>
  <c r="L34" i="346"/>
  <c r="L53" i="346"/>
  <c r="I6" i="346"/>
  <c r="L51" i="346"/>
  <c r="M37" i="346"/>
  <c r="L47" i="346"/>
  <c r="A41" i="7"/>
  <c r="C41" i="7" s="1"/>
  <c r="Z33" i="8"/>
  <c r="AB12" i="8"/>
  <c r="Q29" i="8"/>
  <c r="Y43" i="8"/>
  <c r="Y30" i="8"/>
  <c r="R9" i="8"/>
  <c r="AA40" i="8"/>
  <c r="U30" i="8"/>
  <c r="Q40" i="8"/>
  <c r="Q35" i="8"/>
  <c r="T21" i="8"/>
  <c r="P40" i="8"/>
  <c r="U33" i="8"/>
  <c r="V39" i="8"/>
  <c r="AC10" i="8"/>
  <c r="O28" i="8"/>
  <c r="U22" i="8"/>
  <c r="W14" i="8"/>
  <c r="X39" i="8"/>
  <c r="W27" i="8"/>
  <c r="S20" i="8"/>
  <c r="AB16" i="8"/>
  <c r="X13" i="8"/>
  <c r="AB17" i="8"/>
  <c r="P30" i="8"/>
  <c r="W34" i="8"/>
  <c r="U16" i="8"/>
  <c r="X37" i="8"/>
  <c r="X27" i="8"/>
  <c r="X38" i="8"/>
  <c r="Y27" i="8"/>
  <c r="Z8" i="8"/>
  <c r="W39" i="8"/>
  <c r="T10" i="8"/>
  <c r="AA39" i="8"/>
  <c r="AC38" i="8"/>
  <c r="Y29" i="8"/>
  <c r="AA32" i="8"/>
  <c r="P23" i="8"/>
  <c r="Z30" i="8"/>
  <c r="P43" i="8"/>
  <c r="AC24" i="8"/>
  <c r="O21" i="8"/>
  <c r="T23" i="8"/>
  <c r="AB30" i="8"/>
  <c r="AB6" i="8"/>
  <c r="Z35" i="8"/>
  <c r="T6" i="8"/>
  <c r="Y22" i="8"/>
  <c r="AC34" i="8"/>
  <c r="W44" i="8"/>
  <c r="R39" i="8"/>
  <c r="P35" i="8"/>
  <c r="Z10" i="8"/>
  <c r="AB34" i="8"/>
  <c r="Q10" i="8"/>
  <c r="T18" i="8"/>
  <c r="R38" i="8"/>
  <c r="AA6" i="8"/>
  <c r="Q17" i="8"/>
  <c r="AA25" i="8"/>
  <c r="O17" i="8"/>
  <c r="Q15" i="8"/>
  <c r="S38" i="8"/>
  <c r="Y21" i="8"/>
  <c r="AB20" i="8"/>
  <c r="S21" i="8"/>
  <c r="T14" i="8"/>
  <c r="AC44" i="8"/>
  <c r="AA18" i="8"/>
  <c r="Q21" i="8"/>
  <c r="T32" i="8"/>
  <c r="Q38" i="8"/>
  <c r="W29" i="8"/>
  <c r="AA8" i="8"/>
  <c r="Z27" i="8"/>
  <c r="O10" i="8"/>
  <c r="Q44" i="8"/>
  <c r="Z9" i="8"/>
  <c r="AC36" i="8"/>
  <c r="V8" i="8"/>
  <c r="X7" i="8"/>
  <c r="T20" i="8"/>
  <c r="X44" i="8"/>
  <c r="Q20" i="8"/>
  <c r="S28" i="8"/>
  <c r="T37" i="8"/>
  <c r="T22" i="8"/>
  <c r="AC17" i="8"/>
  <c r="R37" i="8"/>
  <c r="R13" i="8"/>
  <c r="V30" i="8"/>
  <c r="V7" i="8"/>
  <c r="AA29" i="8"/>
  <c r="V29" i="8"/>
  <c r="P34" i="8"/>
  <c r="S14" i="8"/>
  <c r="V18" i="8"/>
  <c r="Z15" i="8"/>
  <c r="U38" i="8"/>
  <c r="W6" i="8"/>
  <c r="Y37" i="8"/>
  <c r="AB15" i="8"/>
  <c r="H13" i="346"/>
  <c r="P17" i="8"/>
  <c r="U17" i="8"/>
  <c r="X9" i="8"/>
  <c r="V40" i="8"/>
  <c r="P6" i="8"/>
  <c r="R44" i="8"/>
  <c r="S44" i="8"/>
  <c r="AB23" i="8"/>
  <c r="U6" i="8"/>
  <c r="AB21" i="8"/>
  <c r="H14" i="346"/>
  <c r="P7" i="8"/>
  <c r="X10" i="8"/>
  <c r="F14" i="346"/>
  <c r="Z29" i="8"/>
  <c r="AC35" i="8"/>
  <c r="V25" i="8"/>
  <c r="Q25" i="8"/>
  <c r="S41" i="8"/>
  <c r="R40" i="8"/>
  <c r="V28" i="8"/>
  <c r="V6" i="8"/>
  <c r="U7" i="8"/>
  <c r="S31" i="8"/>
  <c r="AA30" i="8"/>
  <c r="P36" i="8"/>
  <c r="R16" i="8"/>
  <c r="Z43" i="8"/>
  <c r="Z18" i="8"/>
  <c r="AA19" i="8"/>
  <c r="R17" i="8"/>
  <c r="X29" i="8"/>
  <c r="AA14" i="8"/>
  <c r="AC22" i="8"/>
  <c r="T41" i="8"/>
  <c r="P38" i="8"/>
  <c r="R36" i="8"/>
  <c r="O39" i="8"/>
  <c r="Q19" i="8"/>
  <c r="V14" i="8"/>
  <c r="P18" i="8"/>
  <c r="Z16" i="8"/>
  <c r="W12" i="8"/>
  <c r="Q41" i="8"/>
  <c r="AA22" i="8"/>
  <c r="S43" i="8"/>
  <c r="T29" i="8"/>
  <c r="AC27" i="8"/>
  <c r="Z24" i="8"/>
  <c r="R24" i="8"/>
  <c r="AA23" i="8"/>
  <c r="Q39" i="8"/>
  <c r="Y35" i="8"/>
  <c r="T39" i="8"/>
  <c r="O19" i="8"/>
  <c r="V35" i="8"/>
  <c r="X20" i="8"/>
  <c r="T27" i="8"/>
  <c r="R21" i="8"/>
  <c r="P25" i="8"/>
  <c r="P24" i="8"/>
  <c r="AB44" i="8"/>
  <c r="V13" i="8"/>
  <c r="AA37" i="8"/>
  <c r="W15" i="8"/>
  <c r="T17" i="8"/>
  <c r="S39" i="8"/>
  <c r="R6" i="8"/>
  <c r="AC29" i="8"/>
  <c r="AC7" i="8"/>
  <c r="O35" i="8"/>
  <c r="Y13" i="8"/>
  <c r="O43" i="8"/>
  <c r="V24" i="8"/>
  <c r="X17" i="8"/>
  <c r="O36" i="8"/>
  <c r="AA17" i="8"/>
  <c r="S30" i="8"/>
  <c r="P16" i="8"/>
  <c r="W33" i="8"/>
  <c r="Y38" i="8"/>
  <c r="Y9" i="8"/>
  <c r="X35" i="8"/>
  <c r="AC12" i="8"/>
  <c r="U20" i="8"/>
  <c r="R27" i="8"/>
  <c r="P20" i="8"/>
  <c r="V16" i="8"/>
  <c r="U21" i="8"/>
  <c r="T40" i="8"/>
  <c r="T25" i="8"/>
  <c r="W18" i="8"/>
  <c r="AB29" i="8"/>
  <c r="Q6" i="8"/>
  <c r="W40" i="8"/>
  <c r="AB14" i="8"/>
  <c r="X8" i="8"/>
  <c r="T36" i="8"/>
  <c r="W30" i="8"/>
  <c r="Z17" i="8"/>
  <c r="AB10" i="8"/>
  <c r="AC31" i="8"/>
  <c r="U23" i="8"/>
  <c r="V21" i="8"/>
  <c r="Q8" i="8"/>
  <c r="O33" i="8"/>
  <c r="Q30" i="8"/>
  <c r="S7" i="8"/>
  <c r="W41" i="8"/>
  <c r="R28" i="8"/>
  <c r="AB36" i="8"/>
  <c r="O13" i="8"/>
  <c r="Y25" i="8"/>
  <c r="O29" i="8"/>
  <c r="AC16" i="8"/>
  <c r="U44" i="8"/>
  <c r="X40" i="8"/>
  <c r="O23" i="8"/>
  <c r="Q43" i="8"/>
  <c r="U43" i="8"/>
  <c r="R30" i="8"/>
  <c r="Y44" i="8"/>
  <c r="AC30" i="8"/>
  <c r="AC20" i="8"/>
  <c r="R35" i="8"/>
  <c r="AC21" i="8"/>
  <c r="Q9" i="8"/>
  <c r="T44" i="8"/>
  <c r="X21" i="8"/>
  <c r="O34" i="8"/>
  <c r="Y12" i="8"/>
  <c r="V43" i="8"/>
  <c r="O30" i="8"/>
  <c r="R43" i="8"/>
  <c r="R33" i="8"/>
  <c r="U14" i="8"/>
  <c r="V9" i="8"/>
  <c r="W20" i="8"/>
  <c r="V20" i="8"/>
  <c r="Q14" i="8"/>
  <c r="U37" i="8"/>
  <c r="Y23" i="8"/>
  <c r="T8" i="8"/>
  <c r="Z20" i="8"/>
  <c r="U29" i="8"/>
  <c r="U41" i="8"/>
  <c r="W36" i="8"/>
  <c r="R31" i="8"/>
  <c r="S15" i="8"/>
  <c r="P31" i="8"/>
  <c r="O12" i="8"/>
  <c r="W24" i="8"/>
  <c r="R7" i="8"/>
  <c r="X16" i="8"/>
  <c r="AA13" i="8"/>
  <c r="AC23" i="8"/>
  <c r="S35" i="8"/>
  <c r="W28" i="8"/>
  <c r="P29" i="8"/>
  <c r="P37" i="8"/>
  <c r="AB19" i="8"/>
  <c r="X32" i="8"/>
  <c r="S37" i="8"/>
  <c r="AB38" i="8"/>
  <c r="AC14" i="8"/>
  <c r="Z39" i="8"/>
  <c r="S24" i="8"/>
  <c r="Y20" i="8"/>
  <c r="R34" i="8"/>
  <c r="R23" i="8"/>
  <c r="P39" i="8"/>
  <c r="I12" i="346"/>
  <c r="Q13" i="8"/>
  <c r="O37" i="8"/>
  <c r="Y32" i="8"/>
  <c r="Y40" i="8"/>
  <c r="W38" i="8"/>
  <c r="P44" i="8"/>
  <c r="S33" i="8"/>
  <c r="Z22" i="8"/>
  <c r="P13" i="8"/>
  <c r="AB22" i="8"/>
  <c r="AA24" i="8"/>
  <c r="O38" i="8"/>
  <c r="AC40" i="8"/>
  <c r="T15" i="8"/>
  <c r="T35" i="8"/>
  <c r="AB31" i="8"/>
  <c r="W37" i="8"/>
  <c r="O20" i="8"/>
  <c r="U32" i="8"/>
  <c r="AA31" i="8"/>
  <c r="Y34" i="8"/>
  <c r="S32" i="8"/>
  <c r="Q22" i="8"/>
  <c r="O32" i="8"/>
  <c r="Q23" i="8"/>
  <c r="V32" i="8"/>
  <c r="X36" i="8"/>
  <c r="Z21" i="8"/>
  <c r="W17" i="8"/>
  <c r="Q16" i="8"/>
  <c r="Q36" i="8"/>
  <c r="P32" i="8"/>
  <c r="W25" i="8"/>
  <c r="V31" i="8"/>
  <c r="T9" i="8"/>
  <c r="X24" i="8"/>
  <c r="P33" i="8"/>
  <c r="AA44" i="8"/>
  <c r="Q12" i="8"/>
  <c r="X25" i="8"/>
  <c r="W31" i="8"/>
  <c r="AB32" i="8"/>
  <c r="W21" i="8"/>
  <c r="S23" i="8"/>
  <c r="P12" i="8"/>
  <c r="AA15" i="8"/>
  <c r="U24" i="8"/>
  <c r="W9" i="8"/>
  <c r="T12" i="8"/>
  <c r="O25" i="8"/>
  <c r="AC39" i="8"/>
  <c r="O27" i="8"/>
  <c r="Y33" i="8"/>
  <c r="AA21" i="8"/>
  <c r="Z44" i="8"/>
  <c r="P15" i="8"/>
  <c r="S40" i="8"/>
  <c r="AC28" i="8"/>
  <c r="O22" i="8"/>
  <c r="S12" i="8"/>
  <c r="W43" i="8"/>
  <c r="U35" i="8"/>
  <c r="AB8" i="8"/>
  <c r="AA35" i="8"/>
  <c r="Q18" i="8"/>
  <c r="O40" i="8"/>
  <c r="R29" i="8"/>
  <c r="Q24" i="8"/>
  <c r="U13" i="8"/>
  <c r="AC6" i="8"/>
  <c r="O8" i="8"/>
  <c r="AB37" i="8"/>
  <c r="U40" i="8"/>
  <c r="O7" i="8"/>
  <c r="U19" i="8"/>
  <c r="R12" i="8"/>
  <c r="X14" i="8"/>
  <c r="V17" i="8"/>
  <c r="AC37" i="8"/>
  <c r="S6" i="8"/>
  <c r="AA27" i="8"/>
  <c r="P21" i="8"/>
  <c r="AC9" i="8"/>
  <c r="Y41" i="8"/>
  <c r="Z14" i="8"/>
  <c r="W7" i="8"/>
  <c r="AC19" i="8"/>
  <c r="AA7" i="8"/>
  <c r="X31" i="8"/>
  <c r="AA38" i="8"/>
  <c r="T43" i="8"/>
  <c r="Z13" i="8"/>
  <c r="X30" i="8"/>
  <c r="Y16" i="8"/>
  <c r="Z37" i="8"/>
  <c r="AC32" i="8"/>
  <c r="T13" i="8"/>
  <c r="AA9" i="8"/>
  <c r="AC18" i="8"/>
  <c r="X6" i="8"/>
  <c r="Z23" i="8"/>
  <c r="H12" i="346"/>
  <c r="V15" i="8"/>
  <c r="O14" i="8"/>
  <c r="X12" i="8"/>
  <c r="U15" i="8"/>
  <c r="AC43" i="8"/>
  <c r="W32" i="8"/>
  <c r="U39" i="8"/>
  <c r="X28" i="8"/>
  <c r="R19" i="8"/>
  <c r="AB41" i="8"/>
  <c r="X33" i="8"/>
  <c r="W8" i="8"/>
  <c r="V19" i="8"/>
  <c r="U12" i="8"/>
  <c r="V41" i="8"/>
  <c r="S8" i="8"/>
  <c r="Y36" i="8"/>
  <c r="V36" i="8"/>
  <c r="T33" i="8"/>
  <c r="V33" i="8"/>
  <c r="Q37" i="8"/>
  <c r="Z34" i="8"/>
  <c r="V34" i="8"/>
  <c r="P28" i="8"/>
  <c r="X41" i="8"/>
  <c r="AB33" i="8"/>
  <c r="S27" i="8"/>
  <c r="S13" i="8"/>
  <c r="O41" i="8"/>
  <c r="AA10" i="8"/>
  <c r="T24" i="8"/>
  <c r="I15" i="346"/>
  <c r="W22" i="8"/>
  <c r="T28" i="8"/>
  <c r="AB18" i="8"/>
  <c r="Y7" i="8"/>
  <c r="S29" i="8"/>
  <c r="Y18" i="8"/>
  <c r="Y8" i="8"/>
  <c r="R20" i="8"/>
  <c r="W10" i="8"/>
  <c r="W23" i="8"/>
  <c r="Z32" i="8"/>
  <c r="AB13" i="8"/>
  <c r="Y17" i="8"/>
  <c r="R41" i="8"/>
  <c r="Z25" i="8"/>
  <c r="AA41" i="8"/>
  <c r="AA36" i="8"/>
  <c r="AB24" i="8"/>
  <c r="Z41" i="8"/>
  <c r="AB43" i="8"/>
  <c r="P41" i="8"/>
  <c r="S16" i="8"/>
  <c r="Y6" i="8"/>
  <c r="T34" i="8"/>
  <c r="Y14" i="8"/>
  <c r="Q34" i="8"/>
  <c r="P19" i="8"/>
  <c r="Z28" i="8"/>
  <c r="AC8" i="8"/>
  <c r="I13" i="346"/>
  <c r="S22" i="8"/>
  <c r="AA43" i="8"/>
  <c r="AB27" i="8"/>
  <c r="AA12" i="8"/>
  <c r="S17" i="8"/>
  <c r="AB7" i="8"/>
  <c r="V38" i="8"/>
  <c r="R32" i="8"/>
  <c r="U27" i="8"/>
  <c r="P22" i="8"/>
  <c r="AB28" i="8"/>
  <c r="O16" i="8"/>
  <c r="Z7" i="8"/>
  <c r="P8" i="8"/>
  <c r="R10" i="8"/>
  <c r="F12" i="346"/>
  <c r="U28" i="8"/>
  <c r="AC13" i="8"/>
  <c r="Z12" i="8"/>
  <c r="Q32" i="8"/>
  <c r="Q33" i="8"/>
  <c r="T31" i="8"/>
  <c r="R22" i="8"/>
  <c r="Z31" i="8"/>
  <c r="Q31" i="8"/>
  <c r="S25" i="8"/>
  <c r="U34" i="8"/>
  <c r="Z40" i="8"/>
  <c r="O18" i="8"/>
  <c r="Z38" i="8"/>
  <c r="O44" i="8"/>
  <c r="T19" i="8"/>
  <c r="Q7" i="8"/>
  <c r="R8" i="8"/>
  <c r="V22" i="8"/>
  <c r="U8" i="8"/>
  <c r="AB39" i="8"/>
  <c r="AC33" i="8"/>
  <c r="T16" i="8"/>
  <c r="AB35" i="8"/>
  <c r="V12" i="8"/>
  <c r="Y24" i="8"/>
  <c r="O24" i="8"/>
  <c r="S10" i="8"/>
  <c r="AA16" i="8"/>
  <c r="AA28" i="8"/>
  <c r="P9" i="8"/>
  <c r="Y19" i="8"/>
  <c r="Q28" i="8"/>
  <c r="V27" i="8"/>
  <c r="X34" i="8"/>
  <c r="O31" i="8"/>
  <c r="R25" i="8"/>
  <c r="AA33" i="8"/>
  <c r="U9" i="8"/>
  <c r="Q27" i="8"/>
  <c r="R15" i="8"/>
  <c r="V10" i="8"/>
  <c r="AC25" i="8"/>
  <c r="AA34" i="8"/>
  <c r="P10" i="8"/>
  <c r="X23" i="8"/>
  <c r="U31" i="8"/>
  <c r="AC41" i="8"/>
  <c r="Z6" i="8"/>
  <c r="W19" i="8"/>
  <c r="U18" i="8"/>
  <c r="AB9" i="8"/>
  <c r="U25" i="8"/>
  <c r="R18" i="8"/>
  <c r="X18" i="8"/>
  <c r="S18" i="8"/>
  <c r="S34" i="8"/>
  <c r="W13" i="8"/>
  <c r="Z36" i="8"/>
  <c r="Y10" i="8"/>
  <c r="T7" i="8"/>
  <c r="Y31" i="8"/>
  <c r="Z19" i="8"/>
  <c r="O9" i="8"/>
  <c r="O6" i="8"/>
  <c r="X19" i="8"/>
  <c r="X43" i="8"/>
  <c r="P27" i="8"/>
  <c r="T38" i="8"/>
  <c r="X22" i="8"/>
  <c r="AA20" i="8"/>
  <c r="X15" i="8"/>
  <c r="V23" i="8"/>
  <c r="T30" i="8"/>
  <c r="AB25" i="8"/>
  <c r="U10" i="8"/>
  <c r="W16" i="8"/>
  <c r="S19" i="8"/>
  <c r="O15" i="8"/>
  <c r="Y15" i="8"/>
  <c r="V44" i="8"/>
  <c r="AC15" i="8"/>
  <c r="R14" i="8"/>
  <c r="S9" i="8"/>
  <c r="F15" i="346"/>
  <c r="W35" i="8"/>
  <c r="V37" i="8"/>
  <c r="AB40" i="8"/>
  <c r="S36" i="8"/>
  <c r="Y39" i="8"/>
  <c r="Y28" i="8"/>
  <c r="F13" i="346"/>
  <c r="U36" i="8"/>
  <c r="P14" i="8"/>
  <c r="I16" i="346" l="1"/>
  <c r="F16" i="346"/>
  <c r="J12" i="346"/>
  <c r="J14" i="346"/>
  <c r="J13" i="346"/>
  <c r="H16" i="346"/>
  <c r="J15" i="346"/>
  <c r="AB45" i="8"/>
  <c r="X45" i="8"/>
  <c r="V45" i="8"/>
  <c r="O45" i="8"/>
  <c r="Q45" i="8"/>
  <c r="AA45" i="8"/>
  <c r="Y45" i="8"/>
  <c r="T45" i="8"/>
  <c r="Z45" i="8"/>
  <c r="P45" i="8"/>
  <c r="U45" i="8"/>
  <c r="S45" i="8"/>
  <c r="AC45" i="8"/>
  <c r="W45" i="8"/>
  <c r="R45" i="8"/>
  <c r="E4" i="342"/>
  <c r="J16" i="346" l="1"/>
  <c r="I5" i="342"/>
  <c r="I6" i="342"/>
  <c r="I4" i="342"/>
  <c r="E6" i="342"/>
  <c r="E5" i="342"/>
  <c r="J28" i="342" l="1"/>
  <c r="L28" i="342" s="1"/>
  <c r="J59" i="342"/>
  <c r="L59" i="342" s="1"/>
  <c r="I59" i="342"/>
  <c r="D59" i="342"/>
  <c r="C59" i="342"/>
  <c r="J58" i="342"/>
  <c r="I58" i="342"/>
  <c r="D58" i="342"/>
  <c r="C58" i="342"/>
  <c r="A57" i="342"/>
  <c r="J56" i="342"/>
  <c r="I56" i="342"/>
  <c r="D56" i="342"/>
  <c r="C56" i="342"/>
  <c r="J55" i="342"/>
  <c r="I55" i="342"/>
  <c r="D55" i="342"/>
  <c r="C55" i="342"/>
  <c r="J54" i="342"/>
  <c r="L54" i="342" s="1"/>
  <c r="I54" i="342"/>
  <c r="D54" i="342"/>
  <c r="C54" i="342"/>
  <c r="J53" i="342"/>
  <c r="L53" i="342" s="1"/>
  <c r="I53" i="342"/>
  <c r="D53" i="342"/>
  <c r="C53" i="342"/>
  <c r="J52" i="342"/>
  <c r="L52" i="342" s="1"/>
  <c r="I52" i="342"/>
  <c r="D52" i="342"/>
  <c r="C52" i="342"/>
  <c r="J51" i="342"/>
  <c r="I51" i="342"/>
  <c r="D51" i="342"/>
  <c r="C51" i="342"/>
  <c r="J50" i="342"/>
  <c r="I50" i="342"/>
  <c r="D50" i="342"/>
  <c r="C50" i="342"/>
  <c r="J49" i="342"/>
  <c r="L49" i="342" s="1"/>
  <c r="I49" i="342"/>
  <c r="D49" i="342"/>
  <c r="C49" i="342"/>
  <c r="J48" i="342"/>
  <c r="I48" i="342"/>
  <c r="D48" i="342"/>
  <c r="C48" i="342"/>
  <c r="J47" i="342"/>
  <c r="I47" i="342"/>
  <c r="D47" i="342"/>
  <c r="C47" i="342"/>
  <c r="J46" i="342"/>
  <c r="L46" i="342" s="1"/>
  <c r="I46" i="342"/>
  <c r="D46" i="342"/>
  <c r="C46" i="342"/>
  <c r="J45" i="342"/>
  <c r="L45" i="342" s="1"/>
  <c r="I45" i="342"/>
  <c r="D45" i="342"/>
  <c r="C45" i="342"/>
  <c r="J44" i="342"/>
  <c r="L44" i="342" s="1"/>
  <c r="I44" i="342"/>
  <c r="D44" i="342"/>
  <c r="C44" i="342"/>
  <c r="J43" i="342"/>
  <c r="L43" i="342" s="1"/>
  <c r="I43" i="342"/>
  <c r="D43" i="342"/>
  <c r="C43" i="342"/>
  <c r="J42" i="342"/>
  <c r="I42" i="342"/>
  <c r="D42" i="342"/>
  <c r="C42" i="342"/>
  <c r="A41" i="342"/>
  <c r="J40" i="342"/>
  <c r="L40" i="342" s="1"/>
  <c r="I40" i="342"/>
  <c r="D40" i="342"/>
  <c r="C40" i="342"/>
  <c r="J39" i="342"/>
  <c r="L39" i="342" s="1"/>
  <c r="I39" i="342"/>
  <c r="D39" i="342"/>
  <c r="C39" i="342"/>
  <c r="J38" i="342"/>
  <c r="I38" i="342"/>
  <c r="D38" i="342"/>
  <c r="C38" i="342"/>
  <c r="J37" i="342"/>
  <c r="I37" i="342"/>
  <c r="D37" i="342"/>
  <c r="C37" i="342"/>
  <c r="J36" i="342"/>
  <c r="I36" i="342"/>
  <c r="D36" i="342"/>
  <c r="C36" i="342"/>
  <c r="J35" i="342"/>
  <c r="I35" i="342"/>
  <c r="D35" i="342"/>
  <c r="C35" i="342"/>
  <c r="J34" i="342"/>
  <c r="L34" i="342" s="1"/>
  <c r="I34" i="342"/>
  <c r="D34" i="342"/>
  <c r="C34" i="342"/>
  <c r="J33" i="342"/>
  <c r="I33" i="342"/>
  <c r="D33" i="342"/>
  <c r="C33" i="342"/>
  <c r="J32" i="342"/>
  <c r="I32" i="342"/>
  <c r="D32" i="342"/>
  <c r="C32" i="342"/>
  <c r="J31" i="342"/>
  <c r="I31" i="342"/>
  <c r="D31" i="342"/>
  <c r="C31" i="342"/>
  <c r="J30" i="342"/>
  <c r="L30" i="342" s="1"/>
  <c r="I30" i="342"/>
  <c r="D30" i="342"/>
  <c r="C30" i="342"/>
  <c r="J29" i="342"/>
  <c r="I29" i="342"/>
  <c r="D29" i="342"/>
  <c r="C29" i="342"/>
  <c r="I28" i="342"/>
  <c r="D28" i="342"/>
  <c r="C28" i="342"/>
  <c r="J27" i="342"/>
  <c r="I27" i="342"/>
  <c r="D27" i="342"/>
  <c r="C27" i="342"/>
  <c r="A26" i="342"/>
  <c r="J25" i="342"/>
  <c r="L25" i="342" s="1"/>
  <c r="I25" i="342"/>
  <c r="D25" i="342"/>
  <c r="C25" i="342"/>
  <c r="J24" i="342"/>
  <c r="L24" i="342" s="1"/>
  <c r="I24" i="342"/>
  <c r="D24" i="342"/>
  <c r="C24" i="342"/>
  <c r="J23" i="342"/>
  <c r="I23" i="342"/>
  <c r="D23" i="342"/>
  <c r="C23" i="342"/>
  <c r="J22" i="342"/>
  <c r="L22" i="342" s="1"/>
  <c r="I22" i="342"/>
  <c r="D22" i="342"/>
  <c r="C22" i="342"/>
  <c r="J21" i="342"/>
  <c r="I21" i="342"/>
  <c r="D21" i="342"/>
  <c r="C21" i="342"/>
  <c r="A20" i="342"/>
  <c r="E44" i="8"/>
  <c r="D44" i="8"/>
  <c r="C44" i="8"/>
  <c r="E43" i="8"/>
  <c r="D43" i="8"/>
  <c r="C43" i="8"/>
  <c r="E41" i="8"/>
  <c r="D41" i="8"/>
  <c r="C41" i="8"/>
  <c r="E40" i="8"/>
  <c r="D40" i="8"/>
  <c r="C40" i="8"/>
  <c r="E39" i="8"/>
  <c r="D39" i="8"/>
  <c r="C39" i="8"/>
  <c r="E38" i="8"/>
  <c r="D38" i="8"/>
  <c r="C38" i="8"/>
  <c r="E37" i="8"/>
  <c r="D37" i="8"/>
  <c r="C37" i="8"/>
  <c r="E36" i="8"/>
  <c r="D36" i="8"/>
  <c r="C36" i="8"/>
  <c r="E35" i="8"/>
  <c r="D35" i="8"/>
  <c r="C35" i="8"/>
  <c r="E34" i="8"/>
  <c r="D34" i="8"/>
  <c r="C34" i="8"/>
  <c r="E33" i="8"/>
  <c r="D33" i="8"/>
  <c r="C33" i="8"/>
  <c r="E32" i="8"/>
  <c r="D32" i="8"/>
  <c r="C32" i="8"/>
  <c r="E31" i="8"/>
  <c r="D31" i="8"/>
  <c r="C31" i="8"/>
  <c r="E30" i="8"/>
  <c r="D30" i="8"/>
  <c r="C30" i="8"/>
  <c r="E29" i="8"/>
  <c r="D29" i="8"/>
  <c r="C29" i="8"/>
  <c r="E28" i="8"/>
  <c r="D28" i="8"/>
  <c r="C28" i="8"/>
  <c r="E27" i="8"/>
  <c r="D27" i="8"/>
  <c r="C27" i="8"/>
  <c r="E25" i="8"/>
  <c r="D25" i="8"/>
  <c r="C25" i="8"/>
  <c r="E24" i="8"/>
  <c r="D24" i="8"/>
  <c r="C24" i="8"/>
  <c r="E23" i="8"/>
  <c r="D23" i="8"/>
  <c r="C23" i="8"/>
  <c r="E22" i="8"/>
  <c r="D22" i="8"/>
  <c r="C22" i="8"/>
  <c r="E21" i="8"/>
  <c r="D21" i="8"/>
  <c r="C21" i="8"/>
  <c r="E20" i="8"/>
  <c r="D20" i="8"/>
  <c r="C20" i="8"/>
  <c r="E19" i="8"/>
  <c r="D19" i="8"/>
  <c r="C19" i="8"/>
  <c r="E18" i="8"/>
  <c r="D18" i="8"/>
  <c r="C18" i="8"/>
  <c r="E17" i="8"/>
  <c r="D17" i="8"/>
  <c r="C17" i="8"/>
  <c r="E16" i="8"/>
  <c r="D16" i="8"/>
  <c r="C16" i="8"/>
  <c r="E15" i="8"/>
  <c r="D15" i="8"/>
  <c r="C15" i="8"/>
  <c r="E14" i="8"/>
  <c r="D14" i="8"/>
  <c r="C14" i="8"/>
  <c r="E13" i="8"/>
  <c r="D13" i="8"/>
  <c r="C13" i="8"/>
  <c r="E12" i="8"/>
  <c r="D12" i="8"/>
  <c r="C12" i="8"/>
  <c r="E10" i="8"/>
  <c r="D10" i="8"/>
  <c r="C10" i="8"/>
  <c r="E9" i="8"/>
  <c r="D9" i="8"/>
  <c r="C9" i="8"/>
  <c r="E8" i="8"/>
  <c r="D8" i="8"/>
  <c r="C8" i="8"/>
  <c r="E7" i="8"/>
  <c r="D7" i="8"/>
  <c r="C7" i="8"/>
  <c r="E6" i="8"/>
  <c r="D6" i="8"/>
  <c r="C6" i="8"/>
  <c r="E3" i="8"/>
  <c r="D3" i="8"/>
  <c r="A3" i="8"/>
  <c r="A42" i="6"/>
  <c r="A42" i="8" s="1"/>
  <c r="A26" i="6"/>
  <c r="A26" i="8" s="1"/>
  <c r="A11" i="6"/>
  <c r="A11" i="8" s="1"/>
  <c r="A5" i="6"/>
  <c r="C20" i="342" s="1"/>
  <c r="M55" i="342" l="1"/>
  <c r="B7" i="7"/>
  <c r="M56" i="342"/>
  <c r="C42" i="8"/>
  <c r="M33" i="342"/>
  <c r="M36" i="342"/>
  <c r="M47" i="342"/>
  <c r="N28" i="342"/>
  <c r="N27" i="342"/>
  <c r="C57" i="342"/>
  <c r="B6" i="7"/>
  <c r="N21" i="342"/>
  <c r="M48" i="342"/>
  <c r="M51" i="342"/>
  <c r="N59" i="342"/>
  <c r="N31" i="342"/>
  <c r="N37" i="342"/>
  <c r="N40" i="342"/>
  <c r="C12" i="342"/>
  <c r="C41" i="342"/>
  <c r="N48" i="342"/>
  <c r="M58" i="342"/>
  <c r="A5" i="8"/>
  <c r="C5" i="8" s="1"/>
  <c r="N30" i="342"/>
  <c r="M49" i="342"/>
  <c r="N53" i="342"/>
  <c r="M53" i="342"/>
  <c r="N52" i="342"/>
  <c r="N47" i="342"/>
  <c r="N36" i="342"/>
  <c r="M52" i="342"/>
  <c r="B9" i="7"/>
  <c r="C15" i="342"/>
  <c r="M44" i="342"/>
  <c r="N45" i="342"/>
  <c r="N42" i="342"/>
  <c r="L42" i="342"/>
  <c r="C13" i="342"/>
  <c r="B8" i="7"/>
  <c r="M59" i="342"/>
  <c r="M23" i="342"/>
  <c r="N43" i="342"/>
  <c r="N46" i="342"/>
  <c r="C14" i="342"/>
  <c r="C26" i="342"/>
  <c r="C26" i="8"/>
  <c r="N34" i="342"/>
  <c r="N55" i="342"/>
  <c r="L55" i="342"/>
  <c r="C11" i="8"/>
  <c r="M40" i="342"/>
  <c r="M50" i="342"/>
  <c r="M28" i="342"/>
  <c r="N29" i="342"/>
  <c r="M32" i="342"/>
  <c r="M35" i="342"/>
  <c r="M38" i="342"/>
  <c r="N24" i="342"/>
  <c r="L36" i="342"/>
  <c r="L27" i="342"/>
  <c r="L50" i="342"/>
  <c r="L21" i="342"/>
  <c r="N50" i="342"/>
  <c r="N32" i="342"/>
  <c r="M21" i="342"/>
  <c r="M34" i="342"/>
  <c r="N56" i="342"/>
  <c r="M54" i="342"/>
  <c r="L51" i="342"/>
  <c r="M22" i="342"/>
  <c r="N22" i="342"/>
  <c r="L29" i="342"/>
  <c r="M46" i="342"/>
  <c r="M42" i="342"/>
  <c r="L47" i="342"/>
  <c r="N35" i="342"/>
  <c r="L48" i="342"/>
  <c r="M27" i="342"/>
  <c r="N51" i="342"/>
  <c r="M29" i="342"/>
  <c r="L37" i="342"/>
  <c r="N58" i="342"/>
  <c r="L58" i="342"/>
  <c r="M39" i="342"/>
  <c r="L32" i="342"/>
  <c r="L31" i="342"/>
  <c r="M25" i="342"/>
  <c r="N38" i="342"/>
  <c r="L56" i="342"/>
  <c r="L38" i="342"/>
  <c r="N49" i="342"/>
  <c r="N44" i="342"/>
  <c r="L23" i="342"/>
  <c r="M43" i="342"/>
  <c r="M31" i="342"/>
  <c r="M45" i="342"/>
  <c r="N33" i="342"/>
  <c r="M24" i="342"/>
  <c r="L35" i="342"/>
  <c r="M30" i="342"/>
  <c r="N23" i="342"/>
  <c r="N39" i="342"/>
  <c r="N25" i="342"/>
  <c r="M37" i="342"/>
  <c r="N54" i="342"/>
  <c r="L33" i="342"/>
  <c r="G50" i="7"/>
  <c r="E45" i="7"/>
  <c r="K58" i="7"/>
  <c r="E52" i="7"/>
  <c r="K52" i="7"/>
  <c r="E12" i="342"/>
  <c r="K44" i="7"/>
  <c r="H12" i="342"/>
  <c r="K48" i="7"/>
  <c r="L52" i="7"/>
  <c r="E13" i="342"/>
  <c r="K43" i="7"/>
  <c r="K56" i="7"/>
  <c r="M4" i="8"/>
  <c r="H15" i="342"/>
  <c r="G13" i="342"/>
  <c r="L54" i="7"/>
  <c r="K46" i="7"/>
  <c r="I12" i="342"/>
  <c r="I15" i="342"/>
  <c r="K45" i="7"/>
  <c r="J54" i="7"/>
  <c r="G44" i="7"/>
  <c r="G14" i="342"/>
  <c r="G12" i="342"/>
  <c r="E42" i="7"/>
  <c r="K54" i="7"/>
  <c r="J52" i="7"/>
  <c r="H14" i="342"/>
  <c r="J48" i="7"/>
  <c r="E44" i="7"/>
  <c r="G56" i="7"/>
  <c r="L56" i="7"/>
  <c r="G43" i="7"/>
  <c r="L43" i="7"/>
  <c r="E54" i="7"/>
  <c r="J44" i="7"/>
  <c r="G45" i="7"/>
  <c r="G58" i="7"/>
  <c r="J56" i="7"/>
  <c r="L48" i="7"/>
  <c r="E15" i="342"/>
  <c r="G52" i="7"/>
  <c r="E46" i="7"/>
  <c r="K50" i="7"/>
  <c r="E50" i="7"/>
  <c r="G42" i="7"/>
  <c r="E48" i="7"/>
  <c r="L46" i="7"/>
  <c r="L4" i="8"/>
  <c r="N4" i="8"/>
  <c r="I13" i="342"/>
  <c r="I14" i="342"/>
  <c r="H13" i="342"/>
  <c r="J46" i="7"/>
  <c r="E14" i="342"/>
  <c r="J43" i="7"/>
  <c r="L58" i="7"/>
  <c r="J50" i="7"/>
  <c r="J58" i="7"/>
  <c r="L44" i="7"/>
  <c r="G46" i="7"/>
  <c r="J45" i="7"/>
  <c r="E43" i="7"/>
  <c r="G15" i="342"/>
  <c r="E58" i="7"/>
  <c r="G48" i="7"/>
  <c r="L45" i="7"/>
  <c r="E56" i="7"/>
  <c r="L50" i="7"/>
  <c r="G54" i="7"/>
  <c r="E16" i="342" l="1"/>
  <c r="I16" i="342"/>
  <c r="G16" i="342"/>
  <c r="H16" i="342"/>
  <c r="M41" i="8"/>
  <c r="N43" i="8"/>
  <c r="L39" i="8"/>
  <c r="N17" i="8"/>
  <c r="L38" i="8"/>
  <c r="M17" i="8"/>
  <c r="N37" i="8"/>
  <c r="F13" i="342"/>
  <c r="F43" i="7"/>
  <c r="N32" i="8"/>
  <c r="F56" i="7"/>
  <c r="N39" i="8"/>
  <c r="M27" i="8"/>
  <c r="L23" i="8"/>
  <c r="N29" i="8"/>
  <c r="M18" i="8"/>
  <c r="M21" i="8"/>
  <c r="L30" i="8"/>
  <c r="L33" i="8"/>
  <c r="M20" i="8"/>
  <c r="N6" i="8"/>
  <c r="F48" i="7"/>
  <c r="F42" i="7"/>
  <c r="F12" i="342"/>
  <c r="N15" i="8"/>
  <c r="J42" i="7"/>
  <c r="M37" i="8"/>
  <c r="F45" i="7"/>
  <c r="M30" i="8"/>
  <c r="L40" i="8"/>
  <c r="N14" i="8"/>
  <c r="L10" i="8"/>
  <c r="L41" i="8"/>
  <c r="M8" i="8"/>
  <c r="N36" i="8"/>
  <c r="N35" i="8"/>
  <c r="G41" i="7"/>
  <c r="N8" i="8"/>
  <c r="L27" i="8"/>
  <c r="M40" i="8"/>
  <c r="M36" i="8"/>
  <c r="L44" i="8"/>
  <c r="E41" i="7"/>
  <c r="M33" i="8"/>
  <c r="N23" i="8"/>
  <c r="L37" i="8"/>
  <c r="M31" i="8"/>
  <c r="N40" i="8"/>
  <c r="F54" i="7"/>
  <c r="N12" i="8"/>
  <c r="L25" i="8"/>
  <c r="L15" i="8"/>
  <c r="L29" i="8"/>
  <c r="M43" i="8"/>
  <c r="N41" i="8"/>
  <c r="L7" i="8"/>
  <c r="N33" i="8"/>
  <c r="L20" i="8"/>
  <c r="M39" i="8"/>
  <c r="L28" i="8"/>
  <c r="N10" i="8"/>
  <c r="J41" i="7"/>
  <c r="L14" i="8"/>
  <c r="L32" i="8"/>
  <c r="L18" i="8"/>
  <c r="M13" i="8"/>
  <c r="N13" i="8"/>
  <c r="L34" i="8"/>
  <c r="L6" i="8"/>
  <c r="L17" i="8"/>
  <c r="L24" i="8"/>
  <c r="N21" i="8"/>
  <c r="L16" i="8"/>
  <c r="M34" i="8"/>
  <c r="M12" i="8"/>
  <c r="N38" i="8"/>
  <c r="L8" i="8"/>
  <c r="N16" i="8"/>
  <c r="L21" i="8"/>
  <c r="M28" i="8"/>
  <c r="M15" i="8"/>
  <c r="N9" i="8"/>
  <c r="F58" i="7"/>
  <c r="L22" i="8"/>
  <c r="M22" i="8"/>
  <c r="M32" i="8"/>
  <c r="N7" i="8"/>
  <c r="L13" i="8"/>
  <c r="L43" i="8"/>
  <c r="N25" i="8"/>
  <c r="N24" i="8"/>
  <c r="N28" i="8"/>
  <c r="M38" i="8"/>
  <c r="M10" i="8"/>
  <c r="N22" i="8"/>
  <c r="M19" i="8"/>
  <c r="N19" i="8"/>
  <c r="M14" i="8"/>
  <c r="N27" i="8"/>
  <c r="L31" i="8"/>
  <c r="K41" i="7"/>
  <c r="N30" i="8"/>
  <c r="K42" i="7"/>
  <c r="F50" i="7"/>
  <c r="M44" i="8"/>
  <c r="F52" i="7"/>
  <c r="L36" i="8"/>
  <c r="F14" i="342"/>
  <c r="N34" i="8"/>
  <c r="L35" i="8"/>
  <c r="M29" i="8"/>
  <c r="N18" i="8"/>
  <c r="M24" i="8"/>
  <c r="M35" i="8"/>
  <c r="M6" i="8"/>
  <c r="M16" i="8"/>
  <c r="L19" i="8"/>
  <c r="N31" i="8"/>
  <c r="L12" i="8"/>
  <c r="M9" i="8"/>
  <c r="F44" i="7"/>
  <c r="L9" i="8"/>
  <c r="M23" i="8"/>
  <c r="N20" i="8"/>
  <c r="M7" i="8"/>
  <c r="F46" i="7"/>
  <c r="M25" i="8"/>
  <c r="N44" i="8"/>
  <c r="F15" i="342"/>
  <c r="H46" i="7" l="1"/>
  <c r="I46" i="7"/>
  <c r="J59" i="7"/>
  <c r="N45" i="8"/>
  <c r="H58" i="7"/>
  <c r="I58" i="7"/>
  <c r="H43" i="7"/>
  <c r="I43" i="7"/>
  <c r="H48" i="7"/>
  <c r="I48" i="7"/>
  <c r="H45" i="7"/>
  <c r="I45" i="7"/>
  <c r="H56" i="7"/>
  <c r="I56" i="7"/>
  <c r="H52" i="7"/>
  <c r="I52" i="7"/>
  <c r="J14" i="342"/>
  <c r="H44" i="7"/>
  <c r="I44" i="7"/>
  <c r="H50" i="7"/>
  <c r="I50" i="7"/>
  <c r="F16" i="342"/>
  <c r="J12" i="342"/>
  <c r="H54" i="7"/>
  <c r="I54" i="7"/>
  <c r="E59" i="7"/>
  <c r="L45" i="8"/>
  <c r="J15" i="342"/>
  <c r="H42" i="7"/>
  <c r="I42" i="7"/>
  <c r="G59" i="7"/>
  <c r="M45" i="8"/>
  <c r="K59" i="7"/>
  <c r="J13" i="342"/>
  <c r="J16" i="342"/>
  <c r="L42" i="7"/>
  <c r="L41" i="7"/>
  <c r="F41" i="7"/>
  <c r="L59" i="7" l="1"/>
  <c r="F59" i="7"/>
  <c r="H41" i="7"/>
  <c r="H59" i="7" s="1"/>
  <c r="I41" i="7"/>
  <c r="I59" i="7" s="1"/>
  <c r="F30" i="8"/>
  <c r="F27" i="8"/>
  <c r="F43" i="8"/>
  <c r="I27" i="8"/>
  <c r="F37" i="8"/>
  <c r="J27" i="8" l="1"/>
  <c r="F15" i="8"/>
  <c r="F41" i="8"/>
  <c r="F20" i="8"/>
  <c r="H12" i="8"/>
  <c r="F18" i="8"/>
  <c r="F6" i="8"/>
  <c r="F10" i="8"/>
  <c r="F31" i="8"/>
  <c r="F21" i="8"/>
  <c r="F23" i="8"/>
  <c r="F8" i="8"/>
  <c r="F29" i="8"/>
  <c r="I43" i="8"/>
  <c r="F17" i="8"/>
  <c r="F35" i="8"/>
  <c r="F38" i="8"/>
  <c r="F13" i="8"/>
  <c r="F24" i="8"/>
  <c r="F22" i="8"/>
  <c r="J43" i="8" l="1"/>
  <c r="F39" i="8"/>
  <c r="F44" i="8"/>
  <c r="F16" i="8"/>
  <c r="F14" i="8"/>
  <c r="F19" i="8"/>
  <c r="F25" i="8"/>
  <c r="F33" i="8"/>
  <c r="E9" i="7" l="1"/>
  <c r="I12" i="8"/>
  <c r="F9" i="8"/>
  <c r="H43" i="8"/>
  <c r="F7" i="8"/>
  <c r="H6" i="8"/>
  <c r="F32" i="8"/>
  <c r="F40" i="8"/>
  <c r="E6" i="7" l="1"/>
  <c r="F28" i="8"/>
  <c r="I6" i="8"/>
  <c r="J6" i="8" l="1"/>
  <c r="F36" i="8"/>
  <c r="F34" i="8"/>
  <c r="E8" i="7" l="1"/>
  <c r="G27" i="8"/>
  <c r="K27" i="8" l="1"/>
  <c r="G12" i="8"/>
  <c r="H27" i="8"/>
  <c r="K12" i="8" l="1"/>
  <c r="F12" i="8"/>
  <c r="J12" i="8" l="1"/>
  <c r="F45" i="8"/>
  <c r="E7" i="7"/>
  <c r="G6" i="8"/>
  <c r="E10" i="7" l="1"/>
  <c r="K6" i="8"/>
  <c r="H7" i="8"/>
  <c r="G7" i="8"/>
  <c r="K7" i="8" l="1"/>
  <c r="G8" i="8"/>
  <c r="H8" i="8"/>
  <c r="I7" i="8"/>
  <c r="J7" i="8" l="1"/>
  <c r="K8" i="8"/>
  <c r="I8" i="8"/>
  <c r="I30" i="8"/>
  <c r="G30" i="8"/>
  <c r="J30" i="8" l="1"/>
  <c r="J8" i="8"/>
  <c r="K30" i="8"/>
  <c r="I37" i="8"/>
  <c r="G37" i="8"/>
  <c r="G10" i="8"/>
  <c r="H10" i="8"/>
  <c r="I10" i="8"/>
  <c r="H30" i="8"/>
  <c r="K10" i="8" l="1"/>
  <c r="J37" i="8"/>
  <c r="J10" i="8"/>
  <c r="K37" i="8"/>
  <c r="H37" i="8"/>
  <c r="G25" i="8"/>
  <c r="I25" i="8"/>
  <c r="J25" i="8" l="1"/>
  <c r="K25" i="8"/>
  <c r="I17" i="8"/>
  <c r="H25" i="8"/>
  <c r="G17" i="8"/>
  <c r="J17" i="8" l="1"/>
  <c r="K17" i="8"/>
  <c r="G40" i="8"/>
  <c r="H40" i="8"/>
  <c r="H17" i="8"/>
  <c r="I18" i="8"/>
  <c r="H18" i="8"/>
  <c r="G18" i="8"/>
  <c r="K18" i="8" l="1"/>
  <c r="J18" i="8"/>
  <c r="K40" i="8"/>
  <c r="H22" i="8"/>
  <c r="G22" i="8"/>
  <c r="I40" i="8"/>
  <c r="J40" i="8" l="1"/>
  <c r="K22" i="8"/>
  <c r="G19" i="8"/>
  <c r="I19" i="8"/>
  <c r="I22" i="8"/>
  <c r="J19" i="8" l="1"/>
  <c r="J22" i="8"/>
  <c r="K19" i="8"/>
  <c r="H19" i="8"/>
  <c r="G9" i="8"/>
  <c r="H9" i="8"/>
  <c r="G6" i="7" l="1"/>
  <c r="H6" i="7"/>
  <c r="K9" i="8"/>
  <c r="G44" i="8"/>
  <c r="I9" i="8"/>
  <c r="I44" i="8"/>
  <c r="I9" i="7" l="1"/>
  <c r="F9" i="7" s="1"/>
  <c r="J44" i="8"/>
  <c r="J9" i="7" s="1"/>
  <c r="J9" i="8"/>
  <c r="I6" i="7"/>
  <c r="K6" i="7"/>
  <c r="K44" i="8"/>
  <c r="G39" i="8"/>
  <c r="H44" i="8"/>
  <c r="I39" i="8"/>
  <c r="J39" i="8" l="1"/>
  <c r="H9" i="7"/>
  <c r="F6" i="7"/>
  <c r="J6" i="7"/>
  <c r="K39" i="8"/>
  <c r="G36" i="8"/>
  <c r="I36" i="8"/>
  <c r="H39" i="8"/>
  <c r="J36" i="8" l="1"/>
  <c r="L6" i="7"/>
  <c r="K36" i="8"/>
  <c r="I15" i="8"/>
  <c r="G13" i="8"/>
  <c r="H15" i="8"/>
  <c r="H36" i="8"/>
  <c r="I13" i="8"/>
  <c r="G15" i="8"/>
  <c r="K15" i="8" l="1"/>
  <c r="J13" i="8"/>
  <c r="J15" i="8"/>
  <c r="K13" i="8"/>
  <c r="G16" i="8"/>
  <c r="I16" i="8"/>
  <c r="H13" i="8"/>
  <c r="J16" i="8" l="1"/>
  <c r="K16" i="8"/>
  <c r="I31" i="8"/>
  <c r="G31" i="8"/>
  <c r="H16" i="8"/>
  <c r="J31" i="8" l="1"/>
  <c r="K31" i="8"/>
  <c r="I20" i="8"/>
  <c r="I23" i="8"/>
  <c r="G23" i="8"/>
  <c r="H31" i="8"/>
  <c r="H23" i="8"/>
  <c r="G20" i="8"/>
  <c r="K23" i="8" l="1"/>
  <c r="J20" i="8"/>
  <c r="J23" i="8"/>
  <c r="K20" i="8"/>
  <c r="H24" i="8"/>
  <c r="H33" i="8"/>
  <c r="G33" i="8"/>
  <c r="I24" i="8"/>
  <c r="G24" i="8"/>
  <c r="H20" i="8"/>
  <c r="K24" i="8" l="1"/>
  <c r="J24" i="8"/>
  <c r="K33" i="8"/>
  <c r="G32" i="8"/>
  <c r="I32" i="8"/>
  <c r="I33" i="8"/>
  <c r="J32" i="8" l="1"/>
  <c r="J33" i="8"/>
  <c r="K32" i="8"/>
  <c r="H32" i="8"/>
  <c r="I29" i="8"/>
  <c r="H29" i="8"/>
  <c r="H35" i="8"/>
  <c r="G29" i="8"/>
  <c r="G35" i="8"/>
  <c r="K29" i="8" l="1"/>
  <c r="J29" i="8"/>
  <c r="K35" i="8"/>
  <c r="I35" i="8"/>
  <c r="J35" i="8" l="1"/>
  <c r="G43" i="8"/>
  <c r="G9" i="7" l="1"/>
  <c r="K43" i="8"/>
  <c r="K9" i="7"/>
  <c r="L9" i="7" s="1"/>
  <c r="H14" i="8"/>
  <c r="G14" i="8"/>
  <c r="K14" i="8" l="1"/>
  <c r="I14" i="8"/>
  <c r="G21" i="8"/>
  <c r="I21" i="8"/>
  <c r="G7" i="7" l="1"/>
  <c r="J21" i="8"/>
  <c r="J14" i="8"/>
  <c r="I7" i="7"/>
  <c r="K21" i="8"/>
  <c r="K7" i="7" s="1"/>
  <c r="H21" i="8"/>
  <c r="G38" i="8"/>
  <c r="I38" i="8"/>
  <c r="J38" i="8" l="1"/>
  <c r="H7" i="7"/>
  <c r="F7" i="7"/>
  <c r="J7" i="7"/>
  <c r="K38" i="8"/>
  <c r="G41" i="8"/>
  <c r="H38" i="8"/>
  <c r="H41" i="8"/>
  <c r="L7" i="7" l="1"/>
  <c r="K41" i="8"/>
  <c r="I28" i="8"/>
  <c r="I41" i="8"/>
  <c r="G28" i="8"/>
  <c r="J28" i="8" l="1"/>
  <c r="J41" i="8"/>
  <c r="K28" i="8"/>
  <c r="G34" i="8"/>
  <c r="I34" i="8"/>
  <c r="H28" i="8"/>
  <c r="G8" i="7" l="1"/>
  <c r="G10" i="7" s="1"/>
  <c r="G45" i="8"/>
  <c r="J34" i="8"/>
  <c r="J45" i="8" s="1"/>
  <c r="I45" i="8"/>
  <c r="I8" i="7"/>
  <c r="K34" i="8"/>
  <c r="K45" i="8" s="1"/>
  <c r="H34" i="8"/>
  <c r="K8" i="7" l="1"/>
  <c r="K10" i="7" s="1"/>
  <c r="J8" i="7"/>
  <c r="J10" i="7" s="1"/>
  <c r="H8" i="7"/>
  <c r="H10" i="7" s="1"/>
  <c r="H45" i="8"/>
  <c r="F8" i="7"/>
  <c r="F10" i="7" s="1"/>
  <c r="I10" i="7"/>
  <c r="L10" i="7" l="1"/>
  <c r="L8" i="7"/>
</calcChain>
</file>

<file path=xl/sharedStrings.xml><?xml version="1.0" encoding="utf-8"?>
<sst xmlns="http://schemas.openxmlformats.org/spreadsheetml/2006/main" count="2359" uniqueCount="404">
  <si>
    <t>No.</t>
    <phoneticPr fontId="11" type="noConversion"/>
  </si>
  <si>
    <t>호스트명</t>
    <phoneticPr fontId="11" type="noConversion"/>
  </si>
  <si>
    <t>IP</t>
    <phoneticPr fontId="11" type="noConversion"/>
  </si>
  <si>
    <t>OS/SW</t>
    <phoneticPr fontId="11" type="noConversion"/>
  </si>
  <si>
    <t>버전</t>
    <phoneticPr fontId="11" type="noConversion"/>
  </si>
  <si>
    <t>자산명/용도</t>
    <phoneticPr fontId="11" type="noConversion"/>
  </si>
  <si>
    <t>설치위치</t>
    <phoneticPr fontId="11" type="noConversion"/>
  </si>
  <si>
    <t>담당자</t>
    <phoneticPr fontId="11" type="noConversion"/>
  </si>
  <si>
    <t>구분</t>
    <phoneticPr fontId="11" type="noConversion"/>
  </si>
  <si>
    <t>분류 Code</t>
    <phoneticPr fontId="10" type="noConversion"/>
  </si>
  <si>
    <t>분류</t>
    <phoneticPr fontId="10" type="noConversion"/>
  </si>
  <si>
    <t>중요도</t>
  </si>
  <si>
    <t>파일 및 디렉토리 관리</t>
    <phoneticPr fontId="10" type="noConversion"/>
  </si>
  <si>
    <t>서비스 관리</t>
    <phoneticPr fontId="10" type="noConversion"/>
  </si>
  <si>
    <t>2. 중요도 점수</t>
    <phoneticPr fontId="10" type="noConversion"/>
  </si>
  <si>
    <t>H</t>
    <phoneticPr fontId="11" type="noConversion"/>
  </si>
  <si>
    <t>M</t>
    <phoneticPr fontId="11" type="noConversion"/>
  </si>
  <si>
    <t>L</t>
    <phoneticPr fontId="11" type="noConversion"/>
  </si>
  <si>
    <t>3. 점검결과 점수</t>
    <phoneticPr fontId="10" type="noConversion"/>
  </si>
  <si>
    <t>Y</t>
    <phoneticPr fontId="11" type="noConversion"/>
  </si>
  <si>
    <t>N</t>
    <phoneticPr fontId="11" type="noConversion"/>
  </si>
  <si>
    <t>N/A</t>
    <phoneticPr fontId="11" type="noConversion"/>
  </si>
  <si>
    <t>영역별/장비별 보안수준 통계</t>
    <phoneticPr fontId="10" type="noConversion"/>
  </si>
  <si>
    <t>영역별 보안수준</t>
    <phoneticPr fontId="10" type="noConversion"/>
  </si>
  <si>
    <t>분류</t>
    <phoneticPr fontId="10" type="noConversion"/>
  </si>
  <si>
    <t>중요도점수</t>
  </si>
  <si>
    <t>전체항목</t>
    <phoneticPr fontId="10" type="noConversion"/>
  </si>
  <si>
    <t>양호</t>
    <phoneticPr fontId="10" type="noConversion"/>
  </si>
  <si>
    <t>취약</t>
  </si>
  <si>
    <t>해당없음</t>
  </si>
  <si>
    <t>전체점수</t>
    <phoneticPr fontId="10" type="noConversion"/>
  </si>
  <si>
    <t>평가점수</t>
    <phoneticPr fontId="10" type="noConversion"/>
  </si>
  <si>
    <t>보안수준</t>
    <phoneticPr fontId="10" type="noConversion"/>
  </si>
  <si>
    <t>계</t>
    <phoneticPr fontId="10" type="noConversion"/>
  </si>
  <si>
    <t>장비별 보안수준</t>
    <phoneticPr fontId="10" type="noConversion"/>
  </si>
  <si>
    <t>장비 구분</t>
    <phoneticPr fontId="10" type="noConversion"/>
  </si>
  <si>
    <t>해당없음</t>
    <phoneticPr fontId="10" type="noConversion"/>
  </si>
  <si>
    <t>항목별 통계</t>
    <phoneticPr fontId="10" type="noConversion"/>
  </si>
  <si>
    <t>중요도 점수</t>
    <phoneticPr fontId="10" type="noConversion"/>
  </si>
  <si>
    <t>전체</t>
    <phoneticPr fontId="10" type="noConversion"/>
  </si>
  <si>
    <t>양호</t>
  </si>
  <si>
    <t>평가</t>
    <phoneticPr fontId="10" type="noConversion"/>
  </si>
  <si>
    <t>1) 시스템 현황</t>
    <phoneticPr fontId="10" type="noConversion"/>
  </si>
  <si>
    <t>항목 통계</t>
    <phoneticPr fontId="10" type="noConversion"/>
  </si>
  <si>
    <t>수준</t>
    <phoneticPr fontId="10" type="noConversion"/>
  </si>
  <si>
    <t>전체 보안 수준</t>
    <phoneticPr fontId="10" type="noConversion"/>
  </si>
  <si>
    <t>(양호: Y, 취약: N, 해당사항없음: N/A)</t>
    <phoneticPr fontId="10" type="noConversion"/>
  </si>
  <si>
    <t>HIDDEN 필드입니다</t>
    <phoneticPr fontId="10" type="noConversion"/>
  </si>
  <si>
    <t>중요도</t>
    <phoneticPr fontId="10" type="noConversion"/>
  </si>
  <si>
    <t>root 계정 원격 접속 제한</t>
  </si>
  <si>
    <t>H</t>
  </si>
  <si>
    <t>패스워드 복잡성 설정</t>
  </si>
  <si>
    <t>계정 잠금 임계값 설정</t>
  </si>
  <si>
    <t>패스워드 파일 보호</t>
  </si>
  <si>
    <t>root 홈, 패스 디렉터리 권한 및 패스 설정</t>
  </si>
  <si>
    <t>파일 및 디렉터리 소유자 설정</t>
  </si>
  <si>
    <t>/etc/passwd 파일 소유자 및 권한 설정</t>
  </si>
  <si>
    <t>/etc/shadow 파일 소유자 및 권한 설정</t>
  </si>
  <si>
    <t>/etc/hosts 파일 소유자 및 권한 설정</t>
  </si>
  <si>
    <t>/etc/(x)inetd.conf 파일 소유자 및 권한 설정</t>
  </si>
  <si>
    <t>/etc/syslog.conf 파일 소유자 및 권한 설정</t>
  </si>
  <si>
    <t>/etc/services 파일 소유자 및 권한 설정</t>
  </si>
  <si>
    <t>SUID, SGID, Sticky bit 설정 파일 점검</t>
  </si>
  <si>
    <t>사용자, 시스템 시작파일 및 환경파일 소유자 및 권한 설정</t>
  </si>
  <si>
    <t>world writable 파일 점검</t>
  </si>
  <si>
    <t>$HOME/.rhosts, hosts.equiv 사용 금지</t>
  </si>
  <si>
    <t>접속 IP 및 포트 제한</t>
  </si>
  <si>
    <t>Finger 서비스 비활성화</t>
  </si>
  <si>
    <t>Anonymous FTP 비활성화</t>
  </si>
  <si>
    <t>r 계열 서비스 비활성화</t>
  </si>
  <si>
    <t>DoS 공격에 취약한 서비스 비활성화</t>
  </si>
  <si>
    <t>NFS 서비스 비활성화</t>
  </si>
  <si>
    <t xml:space="preserve">NFS 접근통제 </t>
  </si>
  <si>
    <t>automountd 제거</t>
  </si>
  <si>
    <t>RPC 서비스 확인</t>
  </si>
  <si>
    <t>NIS, NIS+ 점검</t>
  </si>
  <si>
    <t>tftp, talk 서비스 비활성화</t>
  </si>
  <si>
    <t>Sendmail 버전 점검</t>
  </si>
  <si>
    <t>스팸 메일 릴레이 제한</t>
  </si>
  <si>
    <t>일반사용자의 Sendmail 실행 방지</t>
  </si>
  <si>
    <t>DNS 보안 버전 패치</t>
  </si>
  <si>
    <t>DNS ZoneTransfer 설정</t>
  </si>
  <si>
    <t>최신 보안패치 및 벤더 권고사항 적용</t>
  </si>
  <si>
    <t>로그의 정기적 검토 및 보고</t>
  </si>
  <si>
    <t>U</t>
    <phoneticPr fontId="10" type="noConversion"/>
  </si>
  <si>
    <t>U1</t>
    <phoneticPr fontId="10" type="noConversion"/>
  </si>
  <si>
    <t>U2</t>
    <phoneticPr fontId="8" type="noConversion"/>
  </si>
  <si>
    <t>U3</t>
    <phoneticPr fontId="8" type="noConversion"/>
  </si>
  <si>
    <t>U4</t>
    <phoneticPr fontId="8" type="noConversion"/>
  </si>
  <si>
    <t>U-01</t>
    <phoneticPr fontId="8" type="noConversion"/>
  </si>
  <si>
    <t>U-02</t>
    <phoneticPr fontId="8" type="noConversion"/>
  </si>
  <si>
    <t>U-03</t>
  </si>
  <si>
    <t>U-04</t>
  </si>
  <si>
    <t>U1-01</t>
    <phoneticPr fontId="8" type="noConversion"/>
  </si>
  <si>
    <t>U1-02</t>
  </si>
  <si>
    <t>U1-03</t>
  </si>
  <si>
    <t>U1-04</t>
  </si>
  <si>
    <t>U2-01</t>
    <phoneticPr fontId="8" type="noConversion"/>
  </si>
  <si>
    <t>U2-02</t>
  </si>
  <si>
    <t>U2-03</t>
  </si>
  <si>
    <t>U2-04</t>
  </si>
  <si>
    <t>U2-05</t>
  </si>
  <si>
    <t>U2-06</t>
  </si>
  <si>
    <t>U2-07</t>
  </si>
  <si>
    <t>U2-08</t>
  </si>
  <si>
    <t>U2-09</t>
  </si>
  <si>
    <t>U2-10</t>
  </si>
  <si>
    <t>U2-11</t>
  </si>
  <si>
    <t>U2-13</t>
  </si>
  <si>
    <t>U2-14</t>
  </si>
  <si>
    <t>U3-01</t>
    <phoneticPr fontId="8" type="noConversion"/>
  </si>
  <si>
    <t>U3-02</t>
  </si>
  <si>
    <t>U3-03</t>
  </si>
  <si>
    <t>U3-04</t>
  </si>
  <si>
    <t>U3-05</t>
  </si>
  <si>
    <t>U3-06</t>
  </si>
  <si>
    <t>U3-07</t>
  </si>
  <si>
    <t>U3-08</t>
  </si>
  <si>
    <t>U3-09</t>
  </si>
  <si>
    <t>U3-10</t>
  </si>
  <si>
    <t>U3-11</t>
  </si>
  <si>
    <t>U3-12</t>
  </si>
  <si>
    <t>U3-13</t>
  </si>
  <si>
    <t>U3-14</t>
  </si>
  <si>
    <t>U3-15</t>
  </si>
  <si>
    <t>U3-16</t>
  </si>
  <si>
    <t>U4-01</t>
    <phoneticPr fontId="8" type="noConversion"/>
  </si>
  <si>
    <t>U4-02</t>
  </si>
  <si>
    <t>U1-01</t>
    <phoneticPr fontId="8" type="noConversion"/>
  </si>
  <si>
    <t>U2-01</t>
    <phoneticPr fontId="8" type="noConversion"/>
  </si>
  <si>
    <t>U3-01</t>
    <phoneticPr fontId="8" type="noConversion"/>
  </si>
  <si>
    <t>U4-01</t>
    <phoneticPr fontId="8" type="noConversion"/>
  </si>
  <si>
    <t>현황</t>
    <phoneticPr fontId="10" type="noConversion"/>
  </si>
  <si>
    <t>개선방안</t>
    <phoneticPr fontId="10" type="noConversion"/>
  </si>
  <si>
    <t>U-05</t>
  </si>
  <si>
    <t>M</t>
    <phoneticPr fontId="8" type="noConversion"/>
  </si>
  <si>
    <t>패스워드 최대 사용 기간 설정</t>
    <phoneticPr fontId="8" type="noConversion"/>
  </si>
  <si>
    <t>U-06</t>
    <phoneticPr fontId="8" type="noConversion"/>
  </si>
  <si>
    <t>U-07</t>
  </si>
  <si>
    <t>U-08</t>
  </si>
  <si>
    <t>U-09</t>
  </si>
  <si>
    <t>U-10</t>
  </si>
  <si>
    <t>U-11</t>
  </si>
  <si>
    <t>U-12</t>
  </si>
  <si>
    <t>U-13</t>
  </si>
  <si>
    <t>U-14</t>
  </si>
  <si>
    <t>U-15</t>
  </si>
  <si>
    <t>U-16</t>
  </si>
  <si>
    <t>U-18</t>
  </si>
  <si>
    <t>U-19</t>
  </si>
  <si>
    <t>cron 파일 소유자 및 권한 설정</t>
    <phoneticPr fontId="8" type="noConversion"/>
  </si>
  <si>
    <t>U-22</t>
  </si>
  <si>
    <t>U-23</t>
  </si>
  <si>
    <t>U-24</t>
  </si>
  <si>
    <t>U-25</t>
  </si>
  <si>
    <t>U-26</t>
  </si>
  <si>
    <t>U-27</t>
  </si>
  <si>
    <t>U-28</t>
  </si>
  <si>
    <t>U-29</t>
  </si>
  <si>
    <t>U-30</t>
  </si>
  <si>
    <t>U-31</t>
  </si>
  <si>
    <t>U-32</t>
  </si>
  <si>
    <t>U-33</t>
  </si>
  <si>
    <t>U-34</t>
  </si>
  <si>
    <t>패치 및 로그관리</t>
    <phoneticPr fontId="10" type="noConversion"/>
  </si>
  <si>
    <t>U1-05</t>
  </si>
  <si>
    <t>U2-15</t>
  </si>
  <si>
    <t>[Telnet]
1. “/etc/securetty” 파일에서 pts/0 ~ pts/x 설정 제거 또는, 주석 처리
[SSH]
1. vi 편집기를 이용하여 /etc/ssh/sshd_config 파일을 연 후
# vi /etc/ssh/sshd_config
2. 아래와 같이 설정 변경
PermitRootLogin no</t>
    <phoneticPr fontId="8" type="noConversion"/>
  </si>
  <si>
    <t>1. 쉐도우 패스워드 정책 적용 방법
# pwconv
2. 일반 패스워드 정책 적용 방법
#pwunconv</t>
    <phoneticPr fontId="8" type="noConversion"/>
  </si>
  <si>
    <t>1. vi 편집기를 이용하여 root 계정의 설정파일(~/.profile 과 /etc/profile)을 연 후
  # vi  /etc/profile
2. 아래와 같이 수정
  (수정 전) PATH=.:$PATH:$HOME/bin
  (수정 후) PATH=$PATH:$HOME/bin</t>
    <phoneticPr fontId="8" type="noConversion"/>
  </si>
  <si>
    <t>1. 소유자가 존재하지 않는 파일이나 디렉터리가 불필요한 경우 rm 명령으로 삭제
  # rm &lt;file_name&gt;
  # rm &lt;directory_name&gt;
※ 삭제할 파일명 또는, 디렉터리명 입력
2. 필요한 경우 chown 명령으로 소유자 및 그룹 변경
  chown  &lt;user_name&gt;  &lt;file_name&gt;</t>
    <phoneticPr fontId="8" type="noConversion"/>
  </si>
  <si>
    <t>1. /etc/passwd 파일의 퍼미션을 644(또는 444)로, 소유자를 root로 변경
  # chmod 644 /etc/passwd
  # chown root /etc/passwd</t>
    <phoneticPr fontId="8" type="noConversion"/>
  </si>
  <si>
    <t>1. /etc/shadow 파일의 퍼미션을 600(또는 400)로, 소유자를 root로 변경
  # chmod 600 /etc/shadow
  # chown root /etc/shadow</t>
    <phoneticPr fontId="8" type="noConversion"/>
  </si>
  <si>
    <t>1. /etc/hosts 파일의 퍼미션을 644로, 소유자를 root로 변경
  # chmod 644 /etc/hosts
  # chown root /etc/hosts</t>
    <phoneticPr fontId="8" type="noConversion"/>
  </si>
  <si>
    <t xml:space="preserve">1. /etc/xinetd.conf 파일의 퍼미션과 소유자를 확인
  # ls -l /etc/xinetd.conf
  -rw-------. 1 root root 1001 2013-10-07 10:34   /etc/xinetd.conf </t>
    <phoneticPr fontId="8" type="noConversion"/>
  </si>
  <si>
    <t>1. /etc/rsyslog.conf 파일의 퍼미션을 644로, 소유자를 root로 변경
  # chmod 644 /etc/ rsyslog.conf
  # chown root /etc/ rsyslog.conf</t>
    <phoneticPr fontId="8" type="noConversion"/>
  </si>
  <si>
    <t>1. /etc/services 파일의 퍼미션을 644로, 소유자를 root로 변경
  # chmod 644 /etc/services
  # chown root /etc/services</t>
    <phoneticPr fontId="8" type="noConversion"/>
  </si>
  <si>
    <t>1. 검색된 파일 중 불필요한 파일 제거 및 권한 변경
  예시 #chmod –s &lt;file_name&gt;
  #rm –rf &lt;file_name&gt;</t>
    <phoneticPr fontId="8" type="noConversion"/>
  </si>
  <si>
    <t>1. 소유자 변경 방법
  #chown &lt;user_name&gt; &lt;file_name&gt;
2. 일반 사용자 쓰기 권한 제거 방법
  #chmod o-w &lt;file_name&gt;</t>
    <phoneticPr fontId="8" type="noConversion"/>
  </si>
  <si>
    <t>1. 검색된 파일 중 불필요한 파일 제거 및 권한 변경
  #chmod o-w &lt;file_name&gt;
  #rm –rf &lt;world-writable 파일명&gt;</t>
    <phoneticPr fontId="8" type="noConversion"/>
  </si>
  <si>
    <t>U-17</t>
    <phoneticPr fontId="8" type="noConversion"/>
  </si>
  <si>
    <t>U-20</t>
    <phoneticPr fontId="8" type="noConversion"/>
  </si>
  <si>
    <t>U-21</t>
  </si>
  <si>
    <t>U-35</t>
    <phoneticPr fontId="8" type="noConversion"/>
  </si>
  <si>
    <t>U-36</t>
    <phoneticPr fontId="8" type="noConversion"/>
  </si>
  <si>
    <t>[.rhosts, hosts.equiv 파일 미사용 시]
1. .rhosts, hosts.equiv 파일 삭제
# rm -f [삭제 할 파일 및 디렉터리 경로]
# rm -f $HOME/.rhosts 또는 or /etc/ hosts.equiv
[.rhosts, hosts.equiv 파일 사용 시]
1. “/etc/hosts.equiv” 및 “$HOME/.rhosts” 파일의 소유자를 root 또는, 해당 계정으로  변경
# chown root /etc/hosts.equiv
# chown [계정 명] $HOME/.rhosts
2. “/etc/hosts.equiv” 및 “$HOME/.rhosts” 파일의 퍼미션을 600 이하로 변경
# chmod 600 /etc/hosts.equiv
# chmod 600 $HOME/.rhosts
3. “/etc/hosts.equiv” 및 “$HOME/.rhosts” 파일에서 “+”를 제거하고 허용 호스트 및 계정 등록
  # vi /etc/hosts.equiv (or $HOME/.rhosts)</t>
    <phoneticPr fontId="8" type="noConversion"/>
  </si>
  <si>
    <t>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t>
    <phoneticPr fontId="8" type="noConversion"/>
  </si>
  <si>
    <t>1. “/etc/cron.allow” 및 “/etc/cron.deny” 파일의 소유자 및 권한 변경
  # chown root /etc/cron.allow
  # chmod 644 /etc/cron.allow
  # chown root /etc/cron.deny
  # chmod 644 /etc/cron.deny</t>
    <phoneticPr fontId="8" type="noConversion"/>
  </si>
  <si>
    <t>1. “/etc/xinetd.d/finger” 파일에서 서비스 비활성화 여부 확인
  # cat /etc/xinetd.d/finger | grep disable
  disable          =  no</t>
    <phoneticPr fontId="8" type="noConversion"/>
  </si>
  <si>
    <t xml:space="preserve">[Default FTP를 사용하는 경우]
1. ftp 계정 삭제
# userdel ftp  //Linux, HP-UX, Solaris에서 ftp 계정 삭제
# rmuser ftp  //AIX에서 ftp 계정 삭제
[proftpd 를 사용하는 경우]
1. proftpd.conf 파일에서 &lt;Anonymous ~ ftp&gt; 부분의 UserAlias 항목 주석("#") 처리
# cat etc/proftpd/proftpd.conf
#UserAlias           anonymous ftp
[vsftpd 를 사용하는 경우]
1. vsftpd.conf 파일에서 anonymous_enable 값을 No 로 설정
# vi etc/vsftpd/vsftpd.conf
anonymous_enalble = No
</t>
    <phoneticPr fontId="8" type="noConversion"/>
  </si>
  <si>
    <t>1. vi 편집기를 이용하여 “/etc/xinetd.d/” 디렉터리 내 rlogin, rsh, rexec 파일을 연 후
2. 아래와 같이 설정 (disable = yes 설정)
- /etc/xinetd.d/rlogin 파일
- /etc/xinetd.d/rsh 파일
- /etc/xinetd.d/rexec 파일
service        rlogin
{
…
disable           =  yes
}</t>
    <phoneticPr fontId="8" type="noConversion"/>
  </si>
  <si>
    <t>1. vi 편집기를 이용하여 “/etc/xinetd.d/” 디렉터리 내 echo, discard, daytime,   chargen 파일을 연 후
2. 아래와 같이 설정 (disable = yes 설정)
  - /etc/xinetd.d/echo 파일
  - /etc/xinetd.d/discard 파일
  - /etc/xinetd.d/daytime 파일
  - /etc/xinetd.d/chargen 파일
  service        echo 
  { 
  …
  disable           =  yes
  }</t>
    <phoneticPr fontId="8" type="noConversion"/>
  </si>
  <si>
    <t>1. NFS 데몬(nfsd)을 중지
  # ps -ef | grep nfsd
  root 3809 3721  0 08:44:40 ?        0:00 /usr/lib/nfs/nfsd
  # kill –9 3809</t>
    <phoneticPr fontId="8" type="noConversion"/>
  </si>
  <si>
    <t>1. everyone 마운트 제거
  # umount "파일시스템 이름"
2. /etc/exports 파일에서 접근 통제 설정
  # vi /etc/exports
  (예) /data        172.27.0.0/16(rw,no_root_squash)</t>
    <phoneticPr fontId="8" type="noConversion"/>
  </si>
  <si>
    <t xml:space="preserve">1. automountd서비스 데몬 실행 중지
  # ps -ef | grep auto
  root   650   1 0   9월 07 ?  0:00 /usr/lib/autofs/automountd
  # kill –9 650
2. 시스템 재시작시 automount 가 시작되지 않도록 설정
  &lt;방법1&gt; 부팅스크립트에서 automountd 제거
  # chkconfig --level 0123456 autofs off
  &lt;방법2&gt; 아래와 같이 파일경로 확인 후 파일명 변경
  (예) # mv /etc/rc2.d/S28autofs   /etc/rc2.d/S28autofs.orig
</t>
    <phoneticPr fontId="8" type="noConversion"/>
  </si>
  <si>
    <t>1. vi 편집기를 이용하여 “/etc/xinetd.d/” 디렉터리 내의 불필요한 RPC 서비스 파일을 연 후
2. 아래와 같이 설정 (disable = yes 설정)
  service  finger
 {
      disable       =  yes
      … 이하 생략 …
 }</t>
    <phoneticPr fontId="8" type="noConversion"/>
  </si>
  <si>
    <t>1. NFS 서비스 데몬 중지
  #kill -9 [PID]</t>
    <phoneticPr fontId="8" type="noConversion"/>
  </si>
  <si>
    <t>1. vi 편집기를 이용하여 “/etc/xinetd.d/” 디렉터리 내 tftp, talk, ntalk 파일을 연 후
2. 아래와 같이 설정 (disable = yes 설정)
  - /etc/xinetd.d/tftp 파일
  - /etc/xinetd.d/talk 파일
  - /etc/xinetd.d/ntalk 파일
  service  tftp
 {
  … 생략 …
  disable  =  yes
 }</t>
    <phoneticPr fontId="8" type="noConversion"/>
  </si>
  <si>
    <t>[Sendmail을 사용하지 않을 경우]
1. 필요하지 않을 경우 Sendmail 데몬 중지
  # ps -ef | grep sendmail
  root  536638  163960   0   Jul 03      -  2:34 sendmail: accepting       connections
  # kill -9 536638
  # stopsrc -s sendmail  // AIX에서 Sendmail 중지 명령어
[시스템 재시작시 Sendmail이 구동되지 않도록 OS별로 아래와 같이 설정]
&lt;방법1&gt; 부팅스크립트에서 Sendmail 제거
  # chkconfig sendmail off  //모던 런레벨에서 Sendmail 서비스 중지
  # chkconfig --level 2345 sendmail off  //런레벨 2~5에서 Sendmail 서비스 중지
&lt;방법2&gt; Sendmail 구동 스크립트 파일명 변경
  # ls -al /etc/rc*.d/* | grep sendmail  //파일 위치 검색
  #mv /etc/rc2.d/S88sendmail   /etc/rc2.d/S88sendmail.orig  //파일명 변경</t>
    <phoneticPr fontId="8" type="noConversion"/>
  </si>
  <si>
    <t>1. vi 편집기를 이용하여 sendmail.cf 설정파일을 연 후
2. 아래와 같이 주석 제거
  (수정 전) #R$* $#error $@ 5.7.1 $: "550 Relaying denied"
  (수정 후) R$* $#error $@ 5.7.1 $: "550 Relaying denied"
3. 특정 IP, domain, Email Address 및 네트워크에 대한 sendmail 접근 제한 확인
  #vi /etc/mail/access</t>
    <phoneticPr fontId="8" type="noConversion"/>
  </si>
  <si>
    <t>1. vi 편집기를 이용하여 sendmail.cf 설정파일을 연 후
  # vi /etc/mail/sendmail.cf
2. O PrivacyOptions= 설정 부분에 restrictqrun 옵션 추가
  (수정 전) O PrivacyOptions=authwarnings, novrfy, noexpn
  (수정 후) O PrivacyOptions=authwarnings, novrfy, noexpn, restrictqrun</t>
    <phoneticPr fontId="8" type="noConversion"/>
  </si>
  <si>
    <t>[DNS 서비스를 사용할 경우]
“DNS” 서비스 사용 시 BIND 버전 확인 후 최신 버전으로 업데이트
[DNS 서비스를 사용하지 않는 경우]
1. 서비스 중지
  # ps -ef | grep named
  root 27977     1  0   May 08 ?        0:27 /usr/sbin/in.named
  # kill -9 27977</t>
    <phoneticPr fontId="8" type="noConversion"/>
  </si>
  <si>
    <t>1. 특정 서버의 Zone Transfer 지정
  # vi /etc/named.conf
  Options  {
         allow-transfer{10.10.10.111; 10.10.10.112;};
  }; 
2. 특정 도메인의 Zone에 대해서 제한할 경우에는 다음과 같이 설정
  # vi /etc/named.conf
  zone "xxx.co.kr"  {
      Type master ;
      File "db.xxx.co.kr";
      allow-transfer{10.10.10.111; 10.10.10.112;};
  }</t>
    <phoneticPr fontId="8" type="noConversion"/>
  </si>
  <si>
    <t>※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t>
    <phoneticPr fontId="8" type="noConversion"/>
  </si>
  <si>
    <t>※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t>
    <phoneticPr fontId="8" type="noConversion"/>
  </si>
  <si>
    <t>(User 생성시 적용)
  # vi /etc/login.defs
  PASS_MAX_DAYS      90
(현재 User의 최대 사용기간 적용)
  chage –M 90 &lt;계정명&gt;</t>
    <phoneticPr fontId="8" type="noConversion"/>
  </si>
  <si>
    <t>자산목록</t>
    <phoneticPr fontId="10" type="noConversion"/>
  </si>
  <si>
    <t>Check List</t>
    <phoneticPr fontId="11" type="noConversion"/>
  </si>
  <si>
    <t>점검항목</t>
  </si>
  <si>
    <t>점검 결과</t>
  </si>
  <si>
    <t>점검 통계</t>
  </si>
  <si>
    <t>점검결과</t>
  </si>
  <si>
    <t>2) 점검 결과</t>
  </si>
  <si>
    <t>① 부분별 점검 결과</t>
  </si>
  <si>
    <t>점검 점수</t>
  </si>
  <si>
    <t>점검</t>
  </si>
  <si>
    <t>② 상세 점검 현황</t>
  </si>
  <si>
    <t>점검 항목</t>
  </si>
  <si>
    <t>장비별 상세 점검결과</t>
    <phoneticPr fontId="8" type="noConversion"/>
  </si>
  <si>
    <t>[CentOS]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t>
    <phoneticPr fontId="8" type="noConversion"/>
  </si>
  <si>
    <t>변경버전</t>
    <phoneticPr fontId="8" type="noConversion"/>
  </si>
  <si>
    <t>No</t>
    <phoneticPr fontId="8" type="noConversion"/>
  </si>
  <si>
    <t>호스트명</t>
    <phoneticPr fontId="8" type="noConversion"/>
  </si>
  <si>
    <t>SW 버전</t>
    <phoneticPr fontId="8" type="noConversion"/>
  </si>
  <si>
    <t>IP</t>
    <phoneticPr fontId="8" type="noConversion"/>
  </si>
  <si>
    <t>변경 SW 버전</t>
    <phoneticPr fontId="8" type="noConversion"/>
  </si>
  <si>
    <t>담당자</t>
    <phoneticPr fontId="8" type="noConversion"/>
  </si>
  <si>
    <t>계정 관리</t>
    <phoneticPr fontId="10" type="noConversion"/>
  </si>
  <si>
    <t>U_001</t>
    <phoneticPr fontId="8" type="noConversion"/>
  </si>
  <si>
    <t>[CentOS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t>
    <phoneticPr fontId="8" type="noConversion"/>
  </si>
  <si>
    <t>U_002</t>
  </si>
  <si>
    <t>U_003</t>
  </si>
  <si>
    <t>U_004</t>
  </si>
  <si>
    <t>U_005</t>
  </si>
  <si>
    <t>U_006</t>
  </si>
  <si>
    <t>U_007</t>
  </si>
  <si>
    <t>U_008</t>
  </si>
  <si>
    <t>U_009</t>
  </si>
  <si>
    <t>U_010</t>
  </si>
  <si>
    <t>U_011</t>
  </si>
  <si>
    <t>U_012</t>
  </si>
  <si>
    <t>[양호] /etc/(x)inetd.conf 파일이 존재하지 않으므로 양호처리 함</t>
    <phoneticPr fontId="8" type="noConversion"/>
  </si>
  <si>
    <t>[양호] 현재 finger 서비스가 동작하지 않으므로 양호함</t>
  </si>
  <si>
    <t>[양호] FTP 서비스가 동작중이 아니므로 양호함</t>
    <phoneticPr fontId="8" type="noConversion"/>
  </si>
  <si>
    <t>[양호] 현재 rsh, rlogin, rexec 서비스가 동작하지 않으므로 양호함</t>
  </si>
  <si>
    <t>[양호] echo, discard, daytime, chargen 서비스가 동작하지 않으므로 양호함</t>
  </si>
  <si>
    <t>[양호] automount 데몬이 동작중이지 않으므로 양호함</t>
  </si>
  <si>
    <t>[양호] NIS , NIS+ 서비스가 동작중이지 않으므로 양호함</t>
  </si>
  <si>
    <t>[양호] tftp, talk 서비스가 동작하지 않으므로 양호함</t>
  </si>
  <si>
    <t>[양호] Sendmail 서비스가 동작중이지 않으므로 양호함</t>
  </si>
  <si>
    <t>[양호] DNS 서비스를 사용하지 않으므로 양호함</t>
  </si>
  <si>
    <t>[양호] 현재 RPC 서비스가 동작하지 않으므로 양호함</t>
    <phoneticPr fontId="8" type="noConversion"/>
  </si>
  <si>
    <t xml:space="preserve"> idt-gov-jenkins</t>
  </si>
  <si>
    <t>igt-gov-bastion</t>
  </si>
  <si>
    <t xml:space="preserve">idt-gov-ngs </t>
  </si>
  <si>
    <t>idt-gov-pool3-w-155j</t>
  </si>
  <si>
    <t>idt-gov-pool4-w-158h</t>
  </si>
  <si>
    <t>gaia</t>
  </si>
  <si>
    <t>Rocky Linux</t>
  </si>
  <si>
    <t>centos</t>
  </si>
  <si>
    <t>Ubuntu</t>
    <phoneticPr fontId="8" type="noConversion"/>
  </si>
  <si>
    <t>Debian GNU/Linux</t>
  </si>
  <si>
    <t>22.04.3</t>
    <phoneticPr fontId="8" type="noConversion"/>
  </si>
  <si>
    <t>-</t>
    <phoneticPr fontId="8" type="noConversion"/>
  </si>
  <si>
    <t>NAVER Cloud 공공기관용</t>
  </si>
  <si>
    <t>NAVER Cloud 공공기관용 NKS</t>
  </si>
  <si>
    <t>박영규</t>
    <phoneticPr fontId="8" type="noConversion"/>
  </si>
  <si>
    <t>pcespg-web-admin-55845bc69b-nxztw</t>
  </si>
  <si>
    <t>pcespg-web-admin-55845bc69b-p86mk</t>
  </si>
  <si>
    <t>pcespg-web-5674f488d5-nq9w5</t>
  </si>
  <si>
    <t>pcespg-web-5674f488d5-h7zzl</t>
  </si>
  <si>
    <t>pcespg-api-admin-74df64559f-5wgfk</t>
  </si>
  <si>
    <t>pcespg-api-admin-74df64559f-rrwrl</t>
  </si>
  <si>
    <t>pcespg-api-biz-5749fc55dc-sj9mp</t>
  </si>
  <si>
    <t>pcespg-api-biz-5749fc55dc-g956g</t>
  </si>
  <si>
    <t>pcespg-api-comm-796dfdd4bd-74zj4</t>
  </si>
  <si>
    <t>pcespg-api-comm-796dfdd4bd-54kdc</t>
  </si>
  <si>
    <t>pcespg-gw-5bc7bfb557-n9dbr</t>
  </si>
  <si>
    <t>pcespg-gw-5bc7bfb557-fb6g9</t>
  </si>
  <si>
    <t>U_013</t>
  </si>
  <si>
    <t>U_014</t>
  </si>
  <si>
    <t>U_015</t>
  </si>
  <si>
    <t>U_016</t>
  </si>
  <si>
    <t>U_017</t>
  </si>
  <si>
    <t>198.19.245.47</t>
  </si>
  <si>
    <t>198.19.155.127</t>
  </si>
  <si>
    <t>198.19.150.60</t>
  </si>
  <si>
    <t>198.19.237.2</t>
  </si>
  <si>
    <t>198.19.149.38</t>
  </si>
  <si>
    <t>198.19.207.169</t>
  </si>
  <si>
    <t>198.19.178.189</t>
  </si>
  <si>
    <t>10.0.0.10</t>
  </si>
  <si>
    <t>10.0.2.10</t>
  </si>
  <si>
    <t>10.0.1.10</t>
  </si>
  <si>
    <t>10.0.3.11</t>
  </si>
  <si>
    <t>10.0.3.12</t>
  </si>
  <si>
    <t>PCES 웹서버. Pces 웹페이지</t>
  </si>
  <si>
    <t>관리자 api 서버. 관리자 api</t>
  </si>
  <si>
    <t>PCES api 서버. 업무 api</t>
  </si>
  <si>
    <t>PCES api 서버. 공통 api</t>
  </si>
  <si>
    <t>PCES 게이트웨이 서버. Api 게이트웨이</t>
  </si>
  <si>
    <t>GAIA 서버. 가이아 서비스</t>
  </si>
  <si>
    <t>CI/CD</t>
  </si>
  <si>
    <t>Bastion</t>
  </si>
  <si>
    <t>접근제어관리</t>
  </si>
  <si>
    <t>work node</t>
  </si>
  <si>
    <t>관리자 웹서버. 관리자 웹페이지</t>
  </si>
  <si>
    <t>U_018</t>
  </si>
  <si>
    <r>
      <rPr>
        <b/>
        <sz val="8"/>
        <rFont val="돋움체"/>
        <family val="3"/>
        <charset val="129"/>
      </rPr>
      <t xml:space="preserve">[양호] root 계정의 원격 접속 제한설정이 적용되어 있으므로 양호함
</t>
    </r>
    <r>
      <rPr>
        <sz val="8"/>
        <rFont val="돋움체"/>
        <family val="3"/>
        <charset val="129"/>
      </rPr>
      <t>[현황]
-------------
cat /etc/ssh/sshd_config | grep PermitRootLogin
-------------
PermitRootLogin no
# the setting of "PermitRootLogin without-password".</t>
    </r>
    <phoneticPr fontId="8" type="noConversion"/>
  </si>
  <si>
    <r>
      <rPr>
        <b/>
        <sz val="8"/>
        <rFont val="돋움체"/>
        <family val="3"/>
        <charset val="129"/>
      </rPr>
      <t xml:space="preserve">[양호] 계정잠금 임계값 설정이 적절(5회 이하)하므로 양호함
</t>
    </r>
    <r>
      <rPr>
        <sz val="8"/>
        <rFont val="돋움체"/>
        <family val="3"/>
        <charset val="129"/>
      </rPr>
      <t>[현황]
-------------
/etc/pam.d/system-auth | grep auth | grep required | grep deny= 
-------------
auth        required                                     pam_faillock.so preauth silent audit even_deny_root deny=5 unlock_time=60
-------------
cat /etc/pam.d/password-auth | grep auth | grep required | grep deny= 
-------------
auth        required                                     pam_faillock.so preauth silent audit deny=5 unlock_time=120</t>
    </r>
    <phoneticPr fontId="8" type="noConversion"/>
  </si>
  <si>
    <r>
      <rPr>
        <b/>
        <sz val="8"/>
        <rFont val="돋움체"/>
        <family val="3"/>
        <charset val="129"/>
      </rPr>
      <t>[취약] 패스워드 복잡성 설정이 적절(9글자 이상, 영문 대</t>
    </r>
    <r>
      <rPr>
        <b/>
        <sz val="8"/>
        <rFont val="맑은 고딕"/>
        <family val="3"/>
        <charset val="129"/>
      </rPr>
      <t>〮</t>
    </r>
    <r>
      <rPr>
        <b/>
        <sz val="8"/>
        <rFont val="돋움체"/>
        <family val="3"/>
        <charset val="129"/>
      </rPr>
      <t xml:space="preserve">소문자, 숫자, 특수문자 1글자씩 사용)하나, enforce_for_root 설정이 되어있지 않으므로 취약함
</t>
    </r>
    <r>
      <rPr>
        <sz val="8"/>
        <rFont val="돋움체"/>
        <family val="3"/>
        <charset val="129"/>
      </rPr>
      <t>[현황]
-------------
cat /etc/security/pwquality.conf
-------------
minlen = 8
minclass = 2
maxrepeat = 2
maxclassrepeat = 4
lcredit = -1
ucredit = -1
dcredit = -1
dcredit = -1
ocredit = -1
maxsequence = 2
difok = 5
gecoscheck = 1</t>
    </r>
    <phoneticPr fontId="8" type="noConversion"/>
  </si>
  <si>
    <r>
      <rPr>
        <b/>
        <sz val="8"/>
        <rFont val="돋움체"/>
        <family val="3"/>
        <charset val="129"/>
      </rPr>
      <t xml:space="preserve">[양호] 패스워드 최대 사용기간이 적절하게 설정되어 있으므로 양호함
</t>
    </r>
    <r>
      <rPr>
        <sz val="8"/>
        <rFont val="돋움체"/>
        <family val="3"/>
        <charset val="129"/>
      </rPr>
      <t>[현황]
-------------
PASS_MAX_DAYS 설정 확인
-------------
PASS_MAX_DAYS	90
-------------
각 계정별 설정 확인
-------------
패스워드 최대 사용기간 90일을 초과하는 계정이 존재하지 않음</t>
    </r>
    <phoneticPr fontId="8" type="noConversion"/>
  </si>
  <si>
    <r>
      <rPr>
        <b/>
        <sz val="8"/>
        <rFont val="돋움체"/>
        <family val="3"/>
        <charset val="129"/>
      </rPr>
      <t xml:space="preserve">[양호] shadow 파일에 패스워드를 저장하고 있으므로 양호함
</t>
    </r>
    <r>
      <rPr>
        <sz val="8"/>
        <rFont val="돋움체"/>
        <family val="3"/>
        <charset val="129"/>
      </rPr>
      <t>[현황]
-------------
ls -alL /etc/shadow
-------------
-r-------- 1 root root 969 Nov 16 18:19 /etc/shadow</t>
    </r>
    <phoneticPr fontId="8" type="noConversion"/>
  </si>
  <si>
    <r>
      <rPr>
        <b/>
        <sz val="8"/>
        <rFont val="돋움체"/>
        <family val="3"/>
        <charset val="129"/>
      </rPr>
      <t xml:space="preserve">[양호] PATH 설정에 '.' or '..'이 포함되어 있지 않으므로 양호함
</t>
    </r>
    <r>
      <rPr>
        <sz val="8"/>
        <rFont val="돋움체"/>
        <family val="3"/>
        <charset val="129"/>
      </rPr>
      <t>[현황]
-------------
PATH 환경변수
-------------
/usr/local/sbin:/usr/local/bin:/usr/sbin:/usr/bin:/root/bin</t>
    </r>
    <phoneticPr fontId="8" type="noConversion"/>
  </si>
  <si>
    <r>
      <rPr>
        <b/>
        <sz val="8"/>
        <rFont val="돋움체"/>
        <family val="3"/>
        <charset val="129"/>
      </rPr>
      <t xml:space="preserve">[양호] 소유자가 그룹이 존재하지 않는 파일 및 디렉터리가 존재하지 않으므로 양호힘
</t>
    </r>
    <r>
      <rPr>
        <sz val="8"/>
        <rFont val="돋움체"/>
        <family val="3"/>
        <charset val="129"/>
      </rPr>
      <t>[현황]
-------------
소유자나 그룹이 존재하지 않는 파일 및 디렉터리 확인
-------------
해당사항 없음</t>
    </r>
    <phoneticPr fontId="8" type="noConversion"/>
  </si>
  <si>
    <r>
      <rPr>
        <b/>
        <sz val="8"/>
        <rFont val="돋움체"/>
        <family val="3"/>
        <charset val="129"/>
      </rPr>
      <t xml:space="preserve">[양호] /etc/passwd 파일의 퍼미션이 644이하이므로 양호함
</t>
    </r>
    <r>
      <rPr>
        <sz val="8"/>
        <rFont val="돋움체"/>
        <family val="3"/>
        <charset val="129"/>
      </rPr>
      <t>[현황]
-------------
/etc/passwd 파일 소유자 및 권한 확인
-------------
-rw-r--r-- 1 root root 1481 Nov 15 15:36 /etc/passwd</t>
    </r>
    <phoneticPr fontId="8" type="noConversion"/>
  </si>
  <si>
    <r>
      <rPr>
        <b/>
        <sz val="8"/>
        <rFont val="돋움체"/>
        <family val="3"/>
        <charset val="129"/>
      </rPr>
      <t xml:space="preserve">[양호] /etc/shadow 파일의 퍼미션이 400이하이므로 양호함
</t>
    </r>
    <r>
      <rPr>
        <sz val="8"/>
        <rFont val="돋움체"/>
        <family val="3"/>
        <charset val="129"/>
      </rPr>
      <t>[현황]
-------------
/etc/shadow 파일 소유자 및 권한 확인
-------------
-r-------- 1 root root 969 Nov 16 18:19 /etc/shadow</t>
    </r>
    <phoneticPr fontId="8" type="noConversion"/>
  </si>
  <si>
    <r>
      <rPr>
        <b/>
        <sz val="8"/>
        <rFont val="돋움체"/>
        <family val="3"/>
        <charset val="129"/>
      </rPr>
      <t xml:space="preserve">[양호] /etc/hosts 파일의 퍼미션이 644이하이므로 양호함
</t>
    </r>
    <r>
      <rPr>
        <sz val="8"/>
        <rFont val="돋움체"/>
        <family val="3"/>
        <charset val="129"/>
      </rPr>
      <t>[현황]
-------------
/etc/hosts 파일 소유자 및 권한 확인
-------------
-rw-r--r--. 1 root root 158 Sep 10  2018 /etc/hosts</t>
    </r>
    <phoneticPr fontId="8" type="noConversion"/>
  </si>
  <si>
    <r>
      <rPr>
        <b/>
        <sz val="8"/>
        <rFont val="돋움체"/>
        <family val="3"/>
        <charset val="129"/>
      </rPr>
      <t xml:space="preserve">[양호] /etc/rsyslog.conf 파일의 퍼미션이 644이하이므로 양호
</t>
    </r>
    <r>
      <rPr>
        <sz val="8"/>
        <rFont val="돋움체"/>
        <family val="3"/>
        <charset val="129"/>
      </rPr>
      <t>[현황]
-------------
/etc/rsyslog.conf 파일 소유자 및 권한 설정
-------------
-rw-r--r--. 1 root root 3186 Jan 12  2023 /etc/rsyslog.conf</t>
    </r>
    <phoneticPr fontId="8" type="noConversion"/>
  </si>
  <si>
    <r>
      <rPr>
        <b/>
        <sz val="8"/>
        <rFont val="돋움체"/>
        <family val="3"/>
        <charset val="129"/>
      </rPr>
      <t xml:space="preserve">[양호] /etc/services 파일의 퍼미션이 644이하이므로 양호함
</t>
    </r>
    <r>
      <rPr>
        <sz val="8"/>
        <rFont val="돋움체"/>
        <family val="3"/>
        <charset val="129"/>
      </rPr>
      <t>[현황]
-------------
/etc/services 파일 소유자 및 권한 확인
-------------
-rw-r--r--. 1 root root 692252 Nov 30  2022 /etc/services</t>
    </r>
    <phoneticPr fontId="8" type="noConversion"/>
  </si>
  <si>
    <r>
      <rPr>
        <b/>
        <sz val="8"/>
        <rFont val="돋움체"/>
        <family val="3"/>
        <charset val="129"/>
      </rPr>
      <t xml:space="preserve">[양호] 주요 파일의 권한에 SUID/SGID에 대한 설정이 부여되어 있지 않으므로 양호힘
</t>
    </r>
    <r>
      <rPr>
        <sz val="8"/>
        <rFont val="돋움체"/>
        <family val="3"/>
        <charset val="129"/>
      </rPr>
      <t>[현황]
-------------
주요 파일의 SUID/SGID 설정 확인
-------------
SUID/SGID가 설정된 주요파일이 존재하지 않음</t>
    </r>
    <phoneticPr fontId="8" type="noConversion"/>
  </si>
  <si>
    <r>
      <rPr>
        <b/>
        <sz val="8"/>
        <rFont val="돋움체"/>
        <family val="3"/>
        <charset val="129"/>
      </rPr>
      <t xml:space="preserve">[양호] 사용자 환경변수 파일의 권한이 644이하이므로 양호함
</t>
    </r>
    <r>
      <rPr>
        <sz val="8"/>
        <rFont val="돋움체"/>
        <family val="3"/>
        <charset val="129"/>
      </rPr>
      <t>[현황]
-------------
나. 사용자 환경변수 파일의 권한 확인
-------------
-rw------- 1 root root 126 Nov 17 09:48 /.bash_history
-rw------- 1 root root 126 Nov 17 09:48 //.bash_history
-rw-r--r-- 1 idt_parkyk idt_parkyk 141 Aug  2  2022 /home1/idt_parkyk/.bash_profile
-rw-r--r-- 1 idt_parkyk idt_parkyk 376 Aug  2  2022 /home1/idt_parkyk/.bashrc
-rw------- 1 idt_parkyk idt_parkyk 0 Nov 15 17:20 /home1/idt_parkyk/.bash_history
-rw-r--r-- 1 nbpmon nbpmon 141 Aug  2  2022 /home1/nbpmon/.bash_profile
-rw-r--r-- 1 nbpmon nbpmon 376 Aug  2  2022 /home1/nbpmon/.bashrc
-rw-r--r-- 1 ncloud ncloud 250 Jul 25 16:49 /home1/ncloud/.bash_profile
-rw-r--r-- 1 ncloud ncloud 376 Aug  2  2022 /home1/ncloud/.bashrc
-rw------- 1 ncloud ncloud 0 Nov 17 10:31 /home1/ncloud/.bash_history
-rw-r--r--. 1 root root 100 Mar 15  2021 /root/.cshrc
-rw-r--r--. 1 root root 176 Mar 15  2021 /root/.bash_profile
-rw-r--r--. 1 root root 176 Mar 15  2021 /root/.bashrc
-rw------- 1 root root 0 Nov 17 11:04 /root/.bash_history</t>
    </r>
    <phoneticPr fontId="8" type="noConversion"/>
  </si>
  <si>
    <r>
      <rPr>
        <b/>
        <sz val="8"/>
        <rFont val="돋움체"/>
        <family val="3"/>
        <charset val="129"/>
      </rPr>
      <t xml:space="preserve">[양호] world writable 파일이 존재하지 않으므로 양호힘
</t>
    </r>
    <r>
      <rPr>
        <sz val="8"/>
        <rFont val="돋움체"/>
        <family val="3"/>
        <charset val="129"/>
      </rPr>
      <t xml:space="preserve">[현황]
-------------
world writable 파일목록
-------------
</t>
    </r>
    <phoneticPr fontId="8" type="noConversion"/>
  </si>
  <si>
    <r>
      <rPr>
        <b/>
        <sz val="8"/>
        <rFont val="돋움체"/>
        <family val="3"/>
        <charset val="129"/>
      </rPr>
      <t xml:space="preserve">[양호] R 서비스가 동작중이 아니므로 양호함
</t>
    </r>
    <r>
      <rPr>
        <sz val="8"/>
        <rFont val="돋움체"/>
        <family val="3"/>
        <charset val="129"/>
      </rPr>
      <t>[현황]
-------------
# 동작중인 R 서비스
-------------
동작중인 R 서비스가 존재하지 않음</t>
    </r>
    <phoneticPr fontId="8" type="noConversion"/>
  </si>
  <si>
    <r>
      <rPr>
        <b/>
        <sz val="8"/>
        <rFont val="돋움체"/>
        <family val="3"/>
        <charset val="129"/>
      </rPr>
      <t xml:space="preserve">[취약] hosts.allow, hosts.deny 파일 권한이 640 이하이나 접속 IP 및 포트 제한 설정이 되어 있지 않으므로 취약함
</t>
    </r>
    <r>
      <rPr>
        <sz val="8"/>
        <rFont val="돋움체"/>
        <family val="3"/>
        <charset val="129"/>
      </rPr>
      <t>[현황]
-------------
/etc/hosts.allow 파일
-------------
-rw-r----- 1 root root 11 Feb  9  2023 /etc/hosts.allow
sshd : ALL
-------------
/etc/hosts.deny 파일
-------------
-rw-r----- 1 root root 10 Feb  9  2023 /etc/hosts.deny
ALL : ALL</t>
    </r>
    <phoneticPr fontId="8" type="noConversion"/>
  </si>
  <si>
    <r>
      <rPr>
        <b/>
        <sz val="8"/>
        <rFont val="돋움체"/>
        <family val="3"/>
        <charset val="129"/>
      </rPr>
      <t xml:space="preserve">[양호] cron 파일의 소유자가 root이고 접근권한이 640이하이므로 양호함
</t>
    </r>
    <r>
      <rPr>
        <sz val="8"/>
        <rFont val="돋움체"/>
        <family val="3"/>
        <charset val="129"/>
      </rPr>
      <t>[현황]
-------------
/etc/cron.allow 파일
-------------
/etc/cron.allow 파일이 존재하지 않음
-------------
/etc/cron.deny 파일
-------------
-rw-r-----. 1 root root 0 Oct  1  2022 /etc/cron.deny</t>
    </r>
    <phoneticPr fontId="8" type="noConversion"/>
  </si>
  <si>
    <t>[양호] 현재 NFS 서비스가 동작하지 않으므로 양호험</t>
    <phoneticPr fontId="8" type="noConversion"/>
  </si>
  <si>
    <t>[양호] NFS 서비스가 비활성화되어 있으므로 양호처리 함</t>
    <phoneticPr fontId="8" type="noConversion"/>
  </si>
  <si>
    <r>
      <rPr>
        <b/>
        <sz val="8"/>
        <rFont val="돋움체"/>
        <family val="3"/>
        <charset val="129"/>
      </rPr>
      <t xml:space="preserve">[취약] 최신 보안 패치가 적용되지 않았으므로 취약함
</t>
    </r>
    <r>
      <rPr>
        <sz val="8"/>
        <rFont val="돋움체"/>
        <family val="3"/>
        <charset val="129"/>
      </rPr>
      <t xml:space="preserve">[현황]
-------------
Linux Version
-------------
Rocky Linux release 8.8 (Green Obsidian)
NAME="Rocky Linux"
VERSION="8.8 (Green Obsidian)"
ID="rocky"
ID_LIKE="rhel centos fedora"
VERSION_ID="8.8"
PLATFORM_ID="platform:el8"
PRETTY_NAME="Rocky Linux 8.8 (Green Obsidian)"
ANSI_COLOR="0;32"
LOGO="fedora-logo-icon"
CPE_NAME="cpe:/o:rocky:rocky:8:GA"
HOME_URL="https://rockylinux.org/"
BUG_REPORT_URL="https://bugs.rockylinux.org/"
SUPPORT_END="2029-05-31"
ROCKY_SUPPORT_PRODUCT="Rocky-Linux-8"
ROCKY_SUPPORT_PRODUCT_VERSION="8.8"
REDHAT_SUPPORT_PRODUCT="Rocky Linux"
REDHAT_SUPPORT_PRODUCT_VERSION="8.8"
Rocky Linux release 8.8 (Green Obsidian)
Rocky Linux release 8.8 (Green Obsidian)
Rocky Linux release 8.8 (Green Obsidian)
-------------
Kernel Version
-------------
4.18.0-477.15.1.el8_8.x86_64
</t>
    </r>
    <r>
      <rPr>
        <sz val="8"/>
        <color rgb="FFFF0000"/>
        <rFont val="돋움체"/>
        <family val="3"/>
        <charset val="129"/>
      </rPr>
      <t>*4.18.0-477.27.1 이상 버전 권고(CVE-2023-3090, CVE-2023-3776, CVE-2023-4004)</t>
    </r>
    <phoneticPr fontId="8" type="noConversion"/>
  </si>
  <si>
    <r>
      <rPr>
        <b/>
        <sz val="8"/>
        <rFont val="돋움체"/>
        <family val="3"/>
        <charset val="129"/>
      </rPr>
      <t xml:space="preserve">[취약] 패스워드 복잡성 설정 및 enforce_for_root 설정이 되어있지 않으므로 취약함
</t>
    </r>
    <r>
      <rPr>
        <sz val="8"/>
        <rFont val="돋움체"/>
        <family val="3"/>
        <charset val="129"/>
      </rPr>
      <t>[현황]
-------------
cat /etc/security/pwquality.conf
-------------
minlen = 8
dcredit = 1
ucredit = 1
lcredit = 1
ocredit = 1
maxrepeat = 3
maxclassrepeat = 3
usercheck = 1</t>
    </r>
    <phoneticPr fontId="8" type="noConversion"/>
  </si>
  <si>
    <r>
      <rPr>
        <b/>
        <sz val="8"/>
        <rFont val="돋움체"/>
        <family val="3"/>
        <charset val="129"/>
      </rPr>
      <t xml:space="preserve">[양호] 계정잠금 임계값 설정이 적절(5회 이하)하므로 양호함
</t>
    </r>
    <r>
      <rPr>
        <sz val="8"/>
        <rFont val="돋움체"/>
        <family val="3"/>
        <charset val="129"/>
      </rPr>
      <t>[현황]
-------------
/etc/pam.d/system-auth | grep auth | grep required | grep deny= 
-------------
auth        required                                     pam_faillock.so preauth silent audit deny=5 even_deny_root unlock_time=600
-------------
cat /etc/pam.d/password-auth | grep auth | grep required | grep deny= 
-------------
auth        required                                     pam_faillock.so preauth silent audit deny=5 unlock_time=600
auth        required                                     pam_faillock.so authfail audit deny=5 unlock_time=600</t>
    </r>
    <phoneticPr fontId="8" type="noConversion"/>
  </si>
  <si>
    <r>
      <rPr>
        <b/>
        <sz val="8"/>
        <rFont val="돋움체"/>
        <family val="3"/>
        <charset val="129"/>
      </rPr>
      <t xml:space="preserve">[양호] shadow 파일에 패스워드를 저장하고 있으므로 양호함
</t>
    </r>
    <r>
      <rPr>
        <sz val="8"/>
        <rFont val="돋움체"/>
        <family val="3"/>
        <charset val="129"/>
      </rPr>
      <t>[현황]
-------------
ls -alL /etc/shadow
-------------
-r-------- 1 root root 946 Nov 17 07:47 /etc/shadow</t>
    </r>
    <phoneticPr fontId="8" type="noConversion"/>
  </si>
  <si>
    <r>
      <rPr>
        <b/>
        <sz val="8"/>
        <rFont val="돋움체"/>
        <family val="3"/>
        <charset val="129"/>
      </rPr>
      <t xml:space="preserve">[양호] /etc/passwd 파일의 퍼미션이 644이하이므로 양호함
</t>
    </r>
    <r>
      <rPr>
        <sz val="8"/>
        <rFont val="돋움체"/>
        <family val="3"/>
        <charset val="129"/>
      </rPr>
      <t>[현황]
-------------
/etc/passwd 파일 소유자 및 권한 확인
-------------
-rw-r--r-- 1 root root 1421 Nov 15 15:42 /etc/passwd</t>
    </r>
    <phoneticPr fontId="8" type="noConversion"/>
  </si>
  <si>
    <r>
      <rPr>
        <b/>
        <sz val="8"/>
        <rFont val="돋움체"/>
        <family val="3"/>
        <charset val="129"/>
      </rPr>
      <t xml:space="preserve">[양호] /etc/shadow 파일의 퍼미션이 400이하이므로 양호함
</t>
    </r>
    <r>
      <rPr>
        <sz val="8"/>
        <rFont val="돋움체"/>
        <family val="3"/>
        <charset val="129"/>
      </rPr>
      <t>[현황]
-------------
/etc/shadow 파일 소유자 및 권한 확인
-------------
-r-------- 1 root root 946 Nov 17 07:47 /etc/shadow</t>
    </r>
    <phoneticPr fontId="8" type="noConversion"/>
  </si>
  <si>
    <r>
      <rPr>
        <b/>
        <sz val="8"/>
        <rFont val="돋움체"/>
        <family val="3"/>
        <charset val="129"/>
      </rPr>
      <t xml:space="preserve">[양호] 사용자 환경변수 파일의 권한이 644이하이므로 양호함
</t>
    </r>
    <r>
      <rPr>
        <sz val="8"/>
        <rFont val="돋움체"/>
        <family val="3"/>
        <charset val="129"/>
      </rPr>
      <t>[현황]
-------------
나. 사용자 환경변수 파일의 권한 확인
-------------
-rw-r--r-- 1 idt_parkyk idt_parkyk 141 Aug  2  2022 /home1/idt_parkyk/.bash_profile
-rw-r--r-- 1 idt_parkyk idt_parkyk 376 Aug  2  2022 /home1/idt_parkyk/.bashrc
-rw------- 1 idt_parkyk idt_parkyk 0 Nov 17 08:48 /home1/idt_parkyk/.bash_history
-rw-r--r-- 1 nbpmon nbpmon 141 Aug  2  2022 /home1/nbpmon/.bash_profile
-rw-r--r-- 1 nbpmon nbpmon 376 Aug  2  2022 /home1/nbpmon/.bashrc
-rw-r--r-- 1 ncloud nbpmon 335 Jul 18 17:58 /home1/ncloud/.bash_profile
-rw-r--r-- 1 ncloud nbpmon 376 Aug  2  2022 /home1/ncloud/.bashrc
-rw------- 1 ncloud ncloud 0 Nov 17 09:59 /home1/ncloud/.bash_history
-rw-r--r--. 1 root root 100 Mar 15  2021 /root/.cshrc
-rw-r--r--. 1 root root 176 Mar 15  2021 /root/.bash_profile
-rw-r--r--. 1 root root 176 Mar 15  2021 /root/.bashrc
-rw------- 1 root root 0 Nov 17 09:59 /root/.bash_history</t>
    </r>
    <phoneticPr fontId="8" type="noConversion"/>
  </si>
  <si>
    <r>
      <rPr>
        <b/>
        <sz val="8"/>
        <rFont val="돋움체"/>
        <family val="3"/>
        <charset val="129"/>
      </rPr>
      <t xml:space="preserve">[취약] hosts.allow, hosts.deny 파일 권한이 640 이하이나 접속 IP 및 포트 제한 설정이 되어 있지 않으므로 취약함
</t>
    </r>
    <r>
      <rPr>
        <sz val="8"/>
        <rFont val="돋움체"/>
        <family val="3"/>
        <charset val="129"/>
      </rPr>
      <t>[현황]
-------------
/etc/hosts.allow 파일
-------------
-rw-r----- 1 root root 11 Feb  9  2023 /etc/hosts.allow
sshd : ALL
-------------
/etc/hosts.deny 파일
-------------
-rw-r----- 1 root root 0 Sep 26 09:35 /etc/hosts.deny</t>
    </r>
    <phoneticPr fontId="8" type="noConversion"/>
  </si>
  <si>
    <r>
      <rPr>
        <b/>
        <sz val="8"/>
        <rFont val="돋움체"/>
        <family val="3"/>
        <charset val="129"/>
      </rPr>
      <t>[양호] root 계정의 원격 접속 제한설정이 적용되어 있으므로 양호함</t>
    </r>
    <r>
      <rPr>
        <sz val="8"/>
        <rFont val="돋움체"/>
        <family val="3"/>
        <charset val="129"/>
      </rPr>
      <t xml:space="preserve">
[현황]
-------------
cat /etc/ssh/sshd_config | grep PermitRootLogin
-------------
#PermitRootLogin prohibit-password
PermitRootLogin no
# the setting of "PermitRootLogin without-password".</t>
    </r>
    <phoneticPr fontId="8" type="noConversion"/>
  </si>
  <si>
    <r>
      <t xml:space="preserve">[취약] 패스워드 복잡성을 적절하게 설정하고 있지 않으므로 취약함
</t>
    </r>
    <r>
      <rPr>
        <sz val="8"/>
        <rFont val="돋움체"/>
        <family val="3"/>
        <charset val="129"/>
      </rPr>
      <t>[현황]
-------------
cat /etc/pam.d/common-password
-------------
# here are the per-package modules (the "Primary" block)
password	requisite			pam_cracklib.so retry=3 minlen=8 difok=3
password	[success=1 default=ignore]	pam_unix.so obscure use_authtok try_first_pass sha512
# here's the fallback if no module succeeds
password	requisite			pam_deny.so
# prime the stack with a positive return value if there isn't one already;
# this avoids us returning an error just because nothing sets a success code
# since the modules above will each just jump around
password	required			pam_permit.so
# and here are more per-package modules (the "Additional" block)
# end of pam-auth-update config</t>
    </r>
    <phoneticPr fontId="8" type="noConversion"/>
  </si>
  <si>
    <r>
      <t xml:space="preserve">[양호] 계정잠금 임계값 설정이 적절(5회 이하)하므로 양호함
</t>
    </r>
    <r>
      <rPr>
        <sz val="8"/>
        <rFont val="돋움체"/>
        <family val="3"/>
        <charset val="129"/>
      </rPr>
      <t>[현황]
-------------
cat /etc/pam.d/common-auth | grep auth | grep required | grep deny= 
-------------
auth        required      pam_tally2.so onerr=fail deny=5 unlock_time=120 reset</t>
    </r>
    <phoneticPr fontId="8" type="noConversion"/>
  </si>
  <si>
    <r>
      <t xml:space="preserve">[취약] 패스워드 최대 사용기간이 적절하게 설정되어 있지 않으므로 취약함
</t>
    </r>
    <r>
      <rPr>
        <sz val="8"/>
        <rFont val="돋움체"/>
        <family val="3"/>
        <charset val="129"/>
      </rPr>
      <t>[현황]
-------------
PASS_MAX_DAYS 설정 확인
-------------
PASS_MAX_DAYS 90
-------------
각 계정별 설정 확인
-------------
root 99999
nbpmon 99999</t>
    </r>
    <phoneticPr fontId="8" type="noConversion"/>
  </si>
  <si>
    <r>
      <t xml:space="preserve">[양호] 소유자나 그룹이 존재하지 않는 파일 및 디렉터리가 없으므로 양호함
</t>
    </r>
    <r>
      <rPr>
        <sz val="8"/>
        <rFont val="돋움체"/>
        <family val="3"/>
        <charset val="129"/>
      </rPr>
      <t>[현황]
-------------
소유자나 그룹이 존재하지 않는 파일 및 디렉터리 확인
-------------
해당사항 없음</t>
    </r>
    <phoneticPr fontId="8" type="noConversion"/>
  </si>
  <si>
    <r>
      <t xml:space="preserve">[양호] /etc/rsyslog.conf 파일의 퍼미션이 644이하이므로 양호함
</t>
    </r>
    <r>
      <rPr>
        <sz val="8"/>
        <rFont val="돋움체"/>
        <family val="3"/>
        <charset val="129"/>
      </rPr>
      <t xml:space="preserve">
[현황]
-------------
/etc/rsyslog.conf 파일 소유자 및 권한 설정
-------------
-rw-r--r-- 1 root root 1382 Feb 12  2020 /etc/rsyslog.conf</t>
    </r>
    <phoneticPr fontId="8" type="noConversion"/>
  </si>
  <si>
    <r>
      <t xml:space="preserve">[양호] /etc/services 파일의 퍼미션이 644이하이므로 양호함
</t>
    </r>
    <r>
      <rPr>
        <sz val="8"/>
        <rFont val="돋움체"/>
        <family val="3"/>
        <charset val="129"/>
      </rPr>
      <t xml:space="preserve">
[현황]
-------------
/etc/services 파일 소유자 및 권한 확인
-------------
-rw-r--r-- 1 root root 14464 Feb 17  2020 /etc/services</t>
    </r>
    <phoneticPr fontId="8" type="noConversion"/>
  </si>
  <si>
    <r>
      <t xml:space="preserve">[양호] 주요 파일의 권한에 SUID/SGID에 대한 설정이 부여되어 있지 않으므로 양호함
</t>
    </r>
    <r>
      <rPr>
        <sz val="8"/>
        <rFont val="돋움체"/>
        <family val="3"/>
        <charset val="129"/>
      </rPr>
      <t xml:space="preserve">
[현황]
-------------
주요 파일의 SUID/SGID 설정 확인
-------------
SUID/SGID가 설정된 주요파일이 존재하지 않음</t>
    </r>
    <phoneticPr fontId="8" type="noConversion"/>
  </si>
  <si>
    <t>[양호] cron 파일이 존재하지 않으므로 양호처리 함</t>
    <phoneticPr fontId="8" type="noConversion"/>
  </si>
  <si>
    <t>[양호] Anonymous FTP 차단하고 있으므로 양호함</t>
  </si>
  <si>
    <t>[양호] 현재 NFS 서비스를 사용중이지 않으므로 양호함</t>
    <phoneticPr fontId="8" type="noConversion"/>
  </si>
  <si>
    <t>[양호] NFS 서비스가 비활성화되어 있으므로 양호함</t>
  </si>
  <si>
    <t>[양호] 현재 RPC 서비스가 동작하지 않으므로 양호함</t>
  </si>
  <si>
    <r>
      <t xml:space="preserve">[취약] 취약점이 존재하는 버전을 사용중이므로 취약함
</t>
    </r>
    <r>
      <rPr>
        <sz val="8"/>
        <rFont val="돋움체"/>
        <family val="3"/>
        <charset val="129"/>
      </rPr>
      <t xml:space="preserve">
[현황]
-------------
Linux Version
-------------
DISTRIB_ID=Ubuntu
DISTRIB_RELEASE=20.04
DISTRIB_CODENAME=focal
DISTRIB_DESCRIPTION="Ubuntu 20.04.3 LTS"
NAME="Ubuntu"
VERSION="20.04.3 LTS (Focal Fossa)"
ID=ubuntu
ID_LIKE=debian
PRETTY_NAME="Ubuntu 20.04.3 LTS"
VERSION_ID="20.04"
HOME_URL="https://www.ubuntu.com/"
SUPPORT_URL="https://help.ubuntu.com/"
BUG_REPORT_URL="https://bugs.launchpad.net/ubuntu/"
PRIVACY_POLICY_URL="https://www.ubuntu.com/legal/terms-and-policies/privacy-policy"
VERSION_CODENAME=focal
UBUNTU_CODENAME=focal
-------------
Kernel Version
-------------
5.4.0-148-generic
</t>
    </r>
    <r>
      <rPr>
        <sz val="8"/>
        <color rgb="FFFF0000"/>
        <rFont val="돋움체"/>
        <family val="3"/>
        <charset val="129"/>
      </rPr>
      <t>*5.4.0-167.184 이상 버전 권고(CVE-2023-45871, CVE-2023-31085)</t>
    </r>
    <phoneticPr fontId="8" type="noConversion"/>
  </si>
  <si>
    <r>
      <t xml:space="preserve">[양호] shadow 파일에 패스워드를 저장하고 있으므로 양호함
</t>
    </r>
    <r>
      <rPr>
        <sz val="8"/>
        <rFont val="돋움체"/>
        <family val="3"/>
        <charset val="129"/>
      </rPr>
      <t>[현황]
-------------
ls -alL /etc/shadow
-------------
-r-------- 1 root shadow 1111 Oct 20 20:27 /etc/shadow</t>
    </r>
    <phoneticPr fontId="8" type="noConversion"/>
  </si>
  <si>
    <r>
      <t xml:space="preserve">[양호] PATH 설정에 '.' or '..'이 포함되어 있지 않으므로 양호함
</t>
    </r>
    <r>
      <rPr>
        <sz val="8"/>
        <rFont val="돋움체"/>
        <family val="3"/>
        <charset val="129"/>
      </rPr>
      <t>[현황]
/usr/local/sbin:/usr/local/bin:/usr/sbin:/usr/bin:/sbin:/bin:/usr/games:/usr/local/games:/snap/bin</t>
    </r>
    <phoneticPr fontId="8" type="noConversion"/>
  </si>
  <si>
    <r>
      <t>[양호] /etc/passwd 파일의 퍼미션이 644이하이므로 양호함</t>
    </r>
    <r>
      <rPr>
        <sz val="8"/>
        <rFont val="돋움체"/>
        <family val="3"/>
        <charset val="129"/>
      </rPr>
      <t xml:space="preserve">
[현황]
-------------
/etc/passwd 파일 소유자 및 권한 확인
-------------
-rw-r--r-- 1 root root 1776 Oct 20 20:27 /etc/passwd</t>
    </r>
    <phoneticPr fontId="8" type="noConversion"/>
  </si>
  <si>
    <r>
      <t xml:space="preserve">[양호] /etc/shadow 파일의 퍼미션이 400이하이므로 양호함
</t>
    </r>
    <r>
      <rPr>
        <sz val="8"/>
        <rFont val="돋움체"/>
        <family val="3"/>
        <charset val="129"/>
      </rPr>
      <t xml:space="preserve">
[현황]
-------------
/etc/shadow 파일 소유자 및 권한 확인
-------------
-r-------- 1 root shadow 1111 Oct 20 20:27 /etc/shadow</t>
    </r>
    <phoneticPr fontId="8" type="noConversion"/>
  </si>
  <si>
    <r>
      <t xml:space="preserve">[양호] /etc/hosts 파일의 퍼미션이 644이하이므로 양호함
</t>
    </r>
    <r>
      <rPr>
        <sz val="8"/>
        <rFont val="돋움체"/>
        <family val="3"/>
        <charset val="129"/>
      </rPr>
      <t xml:space="preserve">
[현황]
-------------
/etc/hosts 파일 소유자 및 권한 확인
-------------
-rw-r--r-- 1 root root 357 Oct 20 20:27 /etc/hosts</t>
    </r>
    <phoneticPr fontId="8" type="noConversion"/>
  </si>
  <si>
    <r>
      <t xml:space="preserve">[양호] 홈 디렉터리 환경변수 파일의 권한이 적절하므로 양호함
</t>
    </r>
    <r>
      <rPr>
        <sz val="8"/>
        <rFont val="돋움체"/>
        <family val="3"/>
        <charset val="129"/>
      </rPr>
      <t xml:space="preserve">
[현황]
-------------
나. 사용자 환경변수 파일의 권한 확인
-------------
-rw-r--r-- 1 nbpmon nbpmon 807 Feb 25  2020 /home1/nbpmon/.profile
-rw-r--r-- 1 nbpmon nbpmon 3771 Feb 25  2020 /home1/nbpmon/.bashrc
-rw-r--r-- 1 ncloud ncloud 807 Feb 25  2020 /home1/ncloud/.profile
-rw-r--r-- 1 ncloud ncloud 3771 Feb 25  2020 /home1/ncloud/.bashrc
-rw------- 1 ncloud ncloud 0 Nov 27 11:58 /home1/ncloud/.bash_history
-rw-r--r-- 1 root root 161 Dec  5  2019 /root/.profile
-rw-r--r-- 1 root root 3106 Dec  5  2019 /root/.bashrc
-rw------- 1 root root 0 Nov 27 12:03 /root/.bash_history</t>
    </r>
    <phoneticPr fontId="8" type="noConversion"/>
  </si>
  <si>
    <r>
      <t xml:space="preserve">[취약] world writable 파일이 존재하고 있으므로 취약함
</t>
    </r>
    <r>
      <rPr>
        <sz val="8"/>
        <rFont val="돋움체"/>
        <family val="3"/>
        <charset val="129"/>
      </rPr>
      <t>[현황]</t>
    </r>
    <r>
      <rPr>
        <b/>
        <sz val="8"/>
        <rFont val="돋움체"/>
        <family val="3"/>
        <charset val="129"/>
      </rPr>
      <t xml:space="preserve">
</t>
    </r>
    <r>
      <rPr>
        <sz val="8"/>
        <rFont val="돋움체"/>
        <family val="3"/>
        <charset val="129"/>
      </rPr>
      <t>/var/lib/kubelet/pods
/var/lib/ncloud/exec/ncloud-userdata</t>
    </r>
    <phoneticPr fontId="8" type="noConversion"/>
  </si>
  <si>
    <r>
      <t xml:space="preserve">[취약] /etc/hosts.allow 파일 또는 /etc/hosts.deny 파일의 권한이 640이하이나 sshd 포트에 대한 특정 IP만 허용이 되어 있지 않으므로 취약함
</t>
    </r>
    <r>
      <rPr>
        <sz val="8"/>
        <rFont val="돋움체"/>
        <family val="3"/>
        <charset val="129"/>
      </rPr>
      <t xml:space="preserve">
[현황]
-------------
/etc/hosts.allow 파일
-------------
-rw-r--r-- 1 root root 421 Mar 17  2022 /etc/hosts.allow
sshd : ALL
-------------
/etc/hosts.deny 파일
-------------
-rw-r--r-- 1 root root 720 Mar 17  2022 /etc/hosts.deny
ALL : AL</t>
    </r>
    <phoneticPr fontId="8" type="noConversion"/>
  </si>
  <si>
    <r>
      <t xml:space="preserve">[양호] shadow 파일에 패스워드를 저장하고 있으므로 양호함
</t>
    </r>
    <r>
      <rPr>
        <sz val="8"/>
        <rFont val="돋움체"/>
        <family val="3"/>
        <charset val="129"/>
      </rPr>
      <t>[현황]
-------------
ls -alL /etc/shadow
-------------
-r-------- 1 root shadow 1111 Oct 22 16:07 /etc/shadow</t>
    </r>
    <phoneticPr fontId="8" type="noConversion"/>
  </si>
  <si>
    <r>
      <t>[양호] /etc/passwd 파일의 퍼미션이 644이하이므로 양호함</t>
    </r>
    <r>
      <rPr>
        <sz val="8"/>
        <rFont val="돋움체"/>
        <family val="3"/>
        <charset val="129"/>
      </rPr>
      <t xml:space="preserve">
[현황]
-------------
/etc/passwd 파일 소유자 및 권한 확인
-------------
-rw-r--r-- 1 root root 1776 Oct 22 16:07 /etc/passwd</t>
    </r>
    <phoneticPr fontId="8" type="noConversion"/>
  </si>
  <si>
    <r>
      <t xml:space="preserve">[양호] /etc/shadow 파일의 퍼미션이 400이하이므로 양호함
</t>
    </r>
    <r>
      <rPr>
        <sz val="8"/>
        <rFont val="돋움체"/>
        <family val="3"/>
        <charset val="129"/>
      </rPr>
      <t xml:space="preserve">
[현황]
-------------
/etc/shadow 파일 소유자 및 권한 확인
-------------
-r-------- 1 root shadow 1111 Oct 22 16:07 /etc/shadow</t>
    </r>
    <phoneticPr fontId="8" type="noConversion"/>
  </si>
  <si>
    <r>
      <t xml:space="preserve">[양호] /etc/hosts 파일의 퍼미션이 644이하이므로 양호함
</t>
    </r>
    <r>
      <rPr>
        <sz val="8"/>
        <rFont val="돋움체"/>
        <family val="3"/>
        <charset val="129"/>
      </rPr>
      <t xml:space="preserve">
[현황]
-------------
/etc/hosts 파일 소유자 및 권한 확인
-------------
-rw-r--r-- 1 root root 357 Oct 22 16:07 /etc/hosts</t>
    </r>
    <phoneticPr fontId="8" type="noConversion"/>
  </si>
  <si>
    <r>
      <t xml:space="preserve">[양호] 홈 디렉터리 환경변수 파일의 권한이 적절하므로 양호함
</t>
    </r>
    <r>
      <rPr>
        <sz val="8"/>
        <rFont val="돋움체"/>
        <family val="3"/>
        <charset val="129"/>
      </rPr>
      <t xml:space="preserve">
[현황]
-------------
나. 사용자 환경변수 파일의 권한 확인
-------------
-rw-r--r-- 1 nbpmon nbpmon 807 Feb 25  2020 /home1/nbpmon/.profile
-rw-r--r-- 1 nbpmon nbpmon 3771 Feb 25  2020 /home1/nbpmon/.bashrc
-rw-r--r-- 1 ncloud ncloud 807 Feb 25  2020 /home1/ncloud/.profile
-rw-r--r-- 1 ncloud ncloud 3771 Feb 25  2020 /home1/ncloud/.bashrc
-rw------- 1 ncloud ncloud 0 Nov 27 12:04 /home1/ncloud/.bash_history
-rw-r--r-- 1 root root 161 Dec  5  2019 /root/.profile
-rw-r--r-- 1 root root 3106 Dec  5  2019 /root/.bashrc
-rw------- 1 root root 0 Nov 27 12:04 /root/.bash_history</t>
    </r>
    <phoneticPr fontId="8" type="noConversion"/>
  </si>
  <si>
    <r>
      <rPr>
        <b/>
        <sz val="8"/>
        <rFont val="돋움체"/>
        <family val="3"/>
        <charset val="129"/>
      </rPr>
      <t xml:space="preserve">[양호] 계정잠금 임계값 설정이 적절(5회 이하)하므로 양호함
</t>
    </r>
    <r>
      <rPr>
        <sz val="8"/>
        <rFont val="돋움체"/>
        <family val="3"/>
        <charset val="129"/>
      </rPr>
      <t>[현황]
-------------
/etc/pam.d/system-auth | grep auth | grep required | grep deny= 
-------------
auth        required      pam_tally2.so onerr=fail deny=5 no_magic_root unlock_time=120 reset
-------------
cat /etc/pam.d/password-auth | grep auth | grep required | grep deny= 
-------------
auth        required      pam_tally2.so deny=5 no_magic_root unlock_time=120 reset</t>
    </r>
    <phoneticPr fontId="8" type="noConversion"/>
  </si>
  <si>
    <r>
      <rPr>
        <b/>
        <sz val="8"/>
        <rFont val="돋움체"/>
        <family val="3"/>
        <charset val="129"/>
      </rPr>
      <t xml:space="preserve">[양호] shadow 파일에 패스워드를 저장하고 있으므로 양호함
</t>
    </r>
    <r>
      <rPr>
        <sz val="8"/>
        <rFont val="돋움체"/>
        <family val="3"/>
        <charset val="129"/>
      </rPr>
      <t>[현황]
-------------
ls -alL /etc/shadow
-------------
-r-------- 1 root root 985 Nov 15 15:38 /etc/shadow</t>
    </r>
    <phoneticPr fontId="8" type="noConversion"/>
  </si>
  <si>
    <r>
      <rPr>
        <b/>
        <sz val="8"/>
        <rFont val="돋움체"/>
        <family val="3"/>
        <charset val="129"/>
      </rPr>
      <t xml:space="preserve">[양호] PATH 설정에 '.' or '..'이 포함되어 있지 않으므로 양호함
</t>
    </r>
    <r>
      <rPr>
        <sz val="8"/>
        <rFont val="돋움체"/>
        <family val="3"/>
        <charset val="129"/>
      </rPr>
      <t>[현황]
-------------
PATH 환경변수
-------------
/usr/local/sbin:/usr/local/bin:/sbin:/bin:/usr/sbin:/usr/bin:/root/bin:/usr/lib/oracle:/home/ngs/ngs_bin</t>
    </r>
    <phoneticPr fontId="8" type="noConversion"/>
  </si>
  <si>
    <r>
      <rPr>
        <b/>
        <sz val="8"/>
        <rFont val="돋움체"/>
        <family val="3"/>
        <charset val="129"/>
      </rPr>
      <t xml:space="preserve">[양호] /etc/passwd 파일의 퍼미션이 644이하이므로 양호함
</t>
    </r>
    <r>
      <rPr>
        <sz val="8"/>
        <rFont val="돋움체"/>
        <family val="3"/>
        <charset val="129"/>
      </rPr>
      <t>[현황]
-------------
/etc/passwd 파일 소유자 및 권한 확인
-------------
-rw-r--r-- 1 root root 1336 Nov 15 15:31 /etc/passwd</t>
    </r>
    <phoneticPr fontId="8" type="noConversion"/>
  </si>
  <si>
    <r>
      <rPr>
        <b/>
        <sz val="8"/>
        <rFont val="돋움체"/>
        <family val="3"/>
        <charset val="129"/>
      </rPr>
      <t xml:space="preserve">[양호] /etc/shadow 파일의 퍼미션이 400이하이므로 양호함
</t>
    </r>
    <r>
      <rPr>
        <sz val="8"/>
        <rFont val="돋움체"/>
        <family val="3"/>
        <charset val="129"/>
      </rPr>
      <t>[현황]
-------------
/etc/shadow 파일 소유자 및 권한 확인
-------------
-r-------- 1 root root 985 Nov 15 15:38 /etc/shadow</t>
    </r>
    <phoneticPr fontId="8" type="noConversion"/>
  </si>
  <si>
    <r>
      <rPr>
        <b/>
        <sz val="8"/>
        <rFont val="돋움체"/>
        <family val="3"/>
        <charset val="129"/>
      </rPr>
      <t xml:space="preserve">[양호] /etc/hosts 파일의 퍼미션이 644이하이므로 양호함
</t>
    </r>
    <r>
      <rPr>
        <sz val="8"/>
        <rFont val="돋움체"/>
        <family val="3"/>
        <charset val="129"/>
      </rPr>
      <t>[현황]
-------------
/etc/hosts 파일 소유자 및 권한 확인
-------------
-rw-r--r--. 1 root root 158 Jun  7  2013 /etc/hosts</t>
    </r>
    <phoneticPr fontId="8" type="noConversion"/>
  </si>
  <si>
    <r>
      <rPr>
        <b/>
        <sz val="8"/>
        <rFont val="돋움체"/>
        <family val="3"/>
        <charset val="129"/>
      </rPr>
      <t xml:space="preserve">[양호] /etc/rsyslog.conf 파일의 퍼미션이 644이하이므로 양호
</t>
    </r>
    <r>
      <rPr>
        <sz val="8"/>
        <rFont val="돋움체"/>
        <family val="3"/>
        <charset val="129"/>
      </rPr>
      <t>[현황]
-------------
/etc/rsyslog.conf 파일 소유자 및 권한 설정
-------------
-rw-r--r-- 1 root root 3232 Jan 14  2022 /etc/rsyslog.conf</t>
    </r>
    <phoneticPr fontId="8" type="noConversion"/>
  </si>
  <si>
    <r>
      <rPr>
        <b/>
        <sz val="8"/>
        <rFont val="돋움체"/>
        <family val="3"/>
        <charset val="129"/>
      </rPr>
      <t xml:space="preserve">[양호] /etc/services 파일의 퍼미션이 644이하이므로 양호함
</t>
    </r>
    <r>
      <rPr>
        <sz val="8"/>
        <rFont val="돋움체"/>
        <family val="3"/>
        <charset val="129"/>
      </rPr>
      <t>[현황]
-------------
/etc/services 파일 소유자 및 권한 확인
-------------
-rw-r--r--. 1 root root 670293 Jun  7  2013 /etc/services</t>
    </r>
    <phoneticPr fontId="8" type="noConversion"/>
  </si>
  <si>
    <r>
      <rPr>
        <b/>
        <sz val="8"/>
        <rFont val="돋움체"/>
        <family val="3"/>
        <charset val="129"/>
      </rPr>
      <t xml:space="preserve">[양호] 사용자 환경변수 파일의 권한이 644이하이므로 양호함
</t>
    </r>
    <r>
      <rPr>
        <sz val="8"/>
        <rFont val="돋움체"/>
        <family val="3"/>
        <charset val="129"/>
      </rPr>
      <t>[현황]
-------------
나. 사용자 환경변수 파일의 권한 확인
-------------
-rw-r--r-- 1 ngs ngs 2403 Jan 26  2023 /home/ngs/.bash_profile
-rw-r--r-- 1 ngs ngs 231 Apr  1  2020 /home/ngs/.bashrc
-rw------- 1 ngs ngs 0 Sep  4 16:56 /home/ngs/.bash_history
-rw-r--r-- 1 idt_parkyk idt_parkyk 193 Nov 25  2021 /home1/idt_parkyk/.bash_profile
-rw-r--r-- 1 idt_parkyk idt_parkyk 231 Nov 25  2021 /home1/idt_parkyk/.bashrc
-rw------- 1 idt_parkyk idt_parkyk 0 Nov 15 15:32 /home1/idt_parkyk/.bash_history
-rw-r--r--. 1 nbpmon nbpmon 193 Apr  1  2020 /home1/nbpmon/.bash_profile
-rw-r--r--. 1 nbpmon nbpmon 231 Apr  1  2020 /home1/nbpmon/.bashrc
-rw-r--r--. 1 ncloud nbpmon 193 Apr  1  2020 /home1/ncloud/.bash_profile
-rw-r--r--. 1 ncloud nbpmon 231 Apr  1  2020 /home1/ncloud/.bashrc
-rw------- 1 ncloud ncloud 0 Nov 17 11:01 /home1/ncloud/.bash_history
-rw-r--r--. 1 root root 100 Dec 29  2013 /root/.cshrc
-rw-r--r--. 1 root root 2404 Jan 26  2023 /root/.bash_profile
-rw-r--r--. 1 root root 176 Dec 29  2013 /root/.bashrc
-rw-------. 1 root root 0 Nov 17 10:59 /root/.bash_history</t>
    </r>
    <phoneticPr fontId="8" type="noConversion"/>
  </si>
  <si>
    <r>
      <rPr>
        <b/>
        <sz val="8"/>
        <rFont val="돋움체"/>
        <family val="3"/>
        <charset val="129"/>
      </rPr>
      <t xml:space="preserve">[취약] hosts.allow, hosts.deny 파일 권한이 640 이하이나 접속 IP 및 포트 제한 설정이 되어 있지 않으므로 취약함
</t>
    </r>
    <r>
      <rPr>
        <sz val="8"/>
        <rFont val="돋움체"/>
        <family val="3"/>
        <charset val="129"/>
      </rPr>
      <t>[현황]
-------------
/etc/hosts.allow 파일
-------------
-rw-r-----. 1 root root 381 Jun 13  2022 /etc/hosts.allow
sshd : ALL
-------------
/etc/hosts.deny 파일
-------------
-rw-r----- 1 root root 470 Sep 26 09:48 /etc/hosts.deny
ALL : ALL</t>
    </r>
    <phoneticPr fontId="8" type="noConversion"/>
  </si>
  <si>
    <r>
      <rPr>
        <b/>
        <sz val="8"/>
        <rFont val="돋움체"/>
        <family val="3"/>
        <charset val="129"/>
      </rPr>
      <t xml:space="preserve">[양호] cron 파일의 소유자가 root이고 접근권한이 640이하이므로 양호함
</t>
    </r>
    <r>
      <rPr>
        <sz val="8"/>
        <rFont val="돋움체"/>
        <family val="3"/>
        <charset val="129"/>
      </rPr>
      <t>[현황]
-------------
/etc/cron.allow 파일
-------------
/etc/cron.allow 파일이 존재하지 않음
-------------
/etc/cron.deny 파일
-------------
-rw------- 1 root root 0 May 16  2023 /etc/cron.deny</t>
    </r>
    <phoneticPr fontId="8" type="noConversion"/>
  </si>
  <si>
    <r>
      <t xml:space="preserve">[취약] FTP 서비스가 동작중이고, Anonymous FTP 비활성화 되어 있지 않으므로 취약함
</t>
    </r>
    <r>
      <rPr>
        <sz val="8"/>
        <rFont val="돋움체"/>
        <family val="3"/>
        <charset val="129"/>
      </rPr>
      <t>[현황]
-------------
# ps -ef | grep ftp
-------------
ngs       2428     1  0 Sep04 ?        00:00:00 ngs_ftp
ngs       2430  2428  0 Sep04 ?        04:53:52 ngs_ftp
root     43073 42487  0 11:18 pts/1    00:00:00 grep ftp
-------------
# cat /etc/passwd | grep ftp
-------------
-------------
# cat /etc/vsftpd/vsftpd.conf | grep anonymous_enable
-------------
/etc/vsftpd/vsftpd.conf 파일이 존재하지 않음
-------------
# cat /etc/vsftpd.conf
-------------
/etc/vsftpd.conf 파일이 존재하지 않음</t>
    </r>
    <phoneticPr fontId="8" type="noConversion"/>
  </si>
  <si>
    <r>
      <rPr>
        <b/>
        <sz val="8"/>
        <rFont val="돋움체"/>
        <family val="3"/>
        <charset val="129"/>
      </rPr>
      <t xml:space="preserve">[취약] 최신 보안 패치가 적용되지 않았으므로 취약함
</t>
    </r>
    <r>
      <rPr>
        <sz val="8"/>
        <rFont val="돋움체"/>
        <family val="3"/>
        <charset val="129"/>
      </rPr>
      <t xml:space="preserve">[현황]
-------------
Linux Version
-------------
CentOS Linux release 7.9.2009 (Core)
NAME="CentOS Linux"
VERSION="7 (Core)"
ID="centos"
ID_LIKE="rhel fedora"
VERSION_ID="7"
PRETTY_NAME="CentOS Linux 7 (Core)"
ANSI_COLOR="0;31"
CPE_NAME="cpe:/o:centos:centos:7"
HOME_URL="https://www.centos.org/"
BUG_REPORT_URL="https://bugs.centos.org/"
CENTOS_MANTISBT_PROJECT="CentOS-7"
CENTOS_MANTISBT_PROJECT_VERSION="7"
REDHAT_SUPPORT_PRODUCT="centos"
REDHAT_SUPPORT_PRODUCT_VERSION="7"
CentOS Linux release 7.9.2009 (Core)
CentOS Linux release 7.9.2009 (Core)
-------------
Kernel Version
-------------
3.10.0-1160.95.1.el7.x86_64
</t>
    </r>
    <r>
      <rPr>
        <sz val="8"/>
        <color rgb="FFFF0000"/>
        <rFont val="돋움체"/>
        <family val="3"/>
        <charset val="129"/>
      </rPr>
      <t>*3.10.0-1160.105.1.el7 이상 버전 권고(CVE-2023-3611, CVE-2023-3776, CVE-2023-4128)</t>
    </r>
    <phoneticPr fontId="8" type="noConversion"/>
  </si>
  <si>
    <r>
      <rPr>
        <b/>
        <sz val="8"/>
        <rFont val="돋움체"/>
        <family val="3"/>
        <charset val="129"/>
      </rPr>
      <t>[취약] root 계정의 원격 접속 제한설정이 적용되어 있지 않으므로 취약함</t>
    </r>
    <r>
      <rPr>
        <sz val="8"/>
        <rFont val="돋움체"/>
        <family val="3"/>
        <charset val="129"/>
      </rPr>
      <t xml:space="preserve">
[현황]
-------------
cat /etc/ssh/sshd_config | grep PermitRootLogin
-------------
</t>
    </r>
    <phoneticPr fontId="8" type="noConversion"/>
  </si>
  <si>
    <r>
      <t xml:space="preserve">[취약] 패스워드 복잡성을 적절하게 설정하고 있지 않으므로 취약함
</t>
    </r>
    <r>
      <rPr>
        <sz val="8"/>
        <rFont val="돋움체"/>
        <family val="3"/>
        <charset val="129"/>
      </rPr>
      <t>[현황]
-------------
cat /etc/pam.d/common-password
-------------
# here are the per-package modules (the "Primary" block)
password	[success=1 default=ignore]	pam_unix.so obscure yescrypt
# here's the fallback if no module succeeds
password	requisite			pam_deny.so
# prime the stack with a positive return value if there isn't one already;
# this avoids us returning an error just because nothing sets a success code
# since the modules above will each just jump around
password	required			pam_permit.so
# and here are more per-package modules (the "Additional" block)
# end of pam-auth-update config</t>
    </r>
    <phoneticPr fontId="8" type="noConversion"/>
  </si>
  <si>
    <r>
      <t xml:space="preserve">[취약] 계정잠금 임계값 설정이 적절(5회 이하)하지 않으므로 취약함
</t>
    </r>
    <r>
      <rPr>
        <sz val="8"/>
        <rFont val="돋움체"/>
        <family val="3"/>
        <charset val="129"/>
      </rPr>
      <t>[현황]
-------------
/etc/pam.d/system-auth | grep auth | grep required | grep deny= 
-------------
/etc/pam.d/system-auth 파일이 존재하지 않음
-------------
cat /etc/pam.d/password-auth | grep auth | grep required | grep deny= 
-------------
/etc/pam.d/password-auth 파일이 존재하지 않음</t>
    </r>
    <phoneticPr fontId="8" type="noConversion"/>
  </si>
  <si>
    <r>
      <t xml:space="preserve">[취약] 패스워드 최대 사용기간이 적절하게 설정되어 있지 않으므로 취약함
</t>
    </r>
    <r>
      <rPr>
        <sz val="8"/>
        <rFont val="돋움체"/>
        <family val="3"/>
        <charset val="129"/>
      </rPr>
      <t>[현황]
-------------
PASS_MAX_DAYS 설정 확인
-------------
PASS_MAX_DAYS	99999
-------------
각 계정별 설정 확인
-------------
root 99999</t>
    </r>
    <phoneticPr fontId="8" type="noConversion"/>
  </si>
  <si>
    <r>
      <t xml:space="preserve">[양호] shadow 파일에 패스워드를 저장하고 있으므로 양호함
</t>
    </r>
    <r>
      <rPr>
        <sz val="8"/>
        <rFont val="돋움체"/>
        <family val="3"/>
        <charset val="129"/>
      </rPr>
      <t>[현황]
-------------
ls -alL /etc/shadow
-------------
-rw-r----- 1 root shadow 494 Jul 28 11:29 /etc/shadow</t>
    </r>
    <phoneticPr fontId="8" type="noConversion"/>
  </si>
  <si>
    <r>
      <t xml:space="preserve">[양호] PATH 설정에 '.' or '..'이 포함되어 있지 않으므로 양호함
</t>
    </r>
    <r>
      <rPr>
        <sz val="8"/>
        <rFont val="돋움체"/>
        <family val="3"/>
        <charset val="129"/>
      </rPr>
      <t>[현황]
/usr/local/sbin:/usr/local/bin:/usr/sbin:/usr/bin:/sbin:/bin</t>
    </r>
    <phoneticPr fontId="8" type="noConversion"/>
  </si>
  <si>
    <r>
      <t>[양호] /etc/passwd 파일의 퍼미션이 644이하이므로 양호함</t>
    </r>
    <r>
      <rPr>
        <sz val="8"/>
        <rFont val="돋움체"/>
        <family val="3"/>
        <charset val="129"/>
      </rPr>
      <t xml:space="preserve">
[현황]
-------------
/etc/passwd 파일 소유자 및 권한 확인
-------------
-rw-r--r-- 1 root root 890 Jul 28 11:29 /etc/passwd</t>
    </r>
    <phoneticPr fontId="8" type="noConversion"/>
  </si>
  <si>
    <r>
      <t xml:space="preserve">[양호] /etc/shadow 파일의 퍼미션이 400이하이므로 양호함
</t>
    </r>
    <r>
      <rPr>
        <sz val="8"/>
        <rFont val="돋움체"/>
        <family val="3"/>
        <charset val="129"/>
      </rPr>
      <t xml:space="preserve">
[현황]
-------------
/etc/shadow 파일 소유자 및 권한 확인
-------------
-rw-r----- 1 root shadow 494 Jul 28 11:29 /etc/shadow</t>
    </r>
    <phoneticPr fontId="8" type="noConversion"/>
  </si>
  <si>
    <r>
      <t xml:space="preserve">[양호] /etc/hosts 파일의 퍼미션이 644이하이므로 양호함
</t>
    </r>
    <r>
      <rPr>
        <sz val="8"/>
        <rFont val="돋움체"/>
        <family val="3"/>
        <charset val="129"/>
      </rPr>
      <t xml:space="preserve">
[현황]
-------------
/etc/hosts 파일 소유자 및 권한 확인
-------------
-rw-r--r-- 1 root root 230 Nov 22 15:33 /etc/hosts</t>
    </r>
    <phoneticPr fontId="8" type="noConversion"/>
  </si>
  <si>
    <t>[양호] /etc/(r)syslog.conf 파일이 존재하지 않으므로 양호처리 함</t>
    <phoneticPr fontId="8" type="noConversion"/>
  </si>
  <si>
    <r>
      <t xml:space="preserve">[취약] 주요 파일의 권한에 SUID/SGID에 대한 설정이 부여되어 있으므로 취약함
</t>
    </r>
    <r>
      <rPr>
        <sz val="8"/>
        <rFont val="돋움체"/>
        <family val="3"/>
        <charset val="129"/>
      </rPr>
      <t xml:space="preserve">
[현황]
-------------
주요 파일의 SUID/SGID 설정 확인
-------------
/sbin/dump 이 없습니다
/usr/bin/lpq-lpd 이 없습니다
-rwsr-xr-x 1 root root 48896 Mar 23  2023 /usr/bin/newgrp
/sbin/restore 이 없습니다
/usr/bin/lpr 이 없습니다
/usr/sbin/lpc 이 없습니다
-rwxr-sr-x 1 root shadow 39160 Jan  4  2023 /sbin/unix_chkpwd
/usr/bin/lpr-lpd 이 없습니다
/usr/sbin/lpc-lpd 이 없습니다
/usr/bin/at 이 없습니다
/usr/bin/lprm 이 없습니다
/usr/sbin/traceroute 이 없습니다
/usr/bin/lpq 이 없습니다
/usr/bin/lprm-lpd 이 없습니다</t>
    </r>
    <phoneticPr fontId="8" type="noConversion"/>
  </si>
  <si>
    <r>
      <t xml:space="preserve">[양호] world writable 파일이 존재하지 않으므로 양호함
</t>
    </r>
    <r>
      <rPr>
        <sz val="8"/>
        <rFont val="돋움체"/>
        <family val="3"/>
        <charset val="129"/>
      </rPr>
      <t>[현황]</t>
    </r>
    <r>
      <rPr>
        <b/>
        <sz val="8"/>
        <rFont val="돋움체"/>
        <family val="3"/>
        <charset val="129"/>
      </rPr>
      <t xml:space="preserve">
</t>
    </r>
    <r>
      <rPr>
        <sz val="8"/>
        <rFont val="돋움체"/>
        <family val="3"/>
        <charset val="129"/>
      </rPr>
      <t xml:space="preserve">-------------
world writable 파일목록
-------------
</t>
    </r>
    <phoneticPr fontId="8" type="noConversion"/>
  </si>
  <si>
    <r>
      <t xml:space="preserve">[취약] 취약점이 존재하는 버전을 사용중이므로 취약함
</t>
    </r>
    <r>
      <rPr>
        <sz val="8"/>
        <rFont val="돋움체"/>
        <family val="3"/>
        <charset val="129"/>
      </rPr>
      <t xml:space="preserve">
[현황]
-------------
Linux Version
-------------
PRETTY_NAME="Debian GNU/Linux 12 (bookworm)"
NAME="Debian GNU/Linux"
VERSION_ID="12"
VERSION="12 (bookworm)"
VERSION_CODENAME=bookworm
ID=debian
HOME_URL="https://www.debian.org/"
SUPPORT_URL="https://www.debian.org/support"
BUG_REPORT_URL="https://bugs.debian.org/"
-------------
Kernel Version
-------------
5.4.0-148-generic
</t>
    </r>
    <r>
      <rPr>
        <sz val="8"/>
        <color rgb="FFFF0000"/>
        <rFont val="돋움체"/>
        <family val="3"/>
        <charset val="129"/>
      </rPr>
      <t>*5.4.0-167.184 이상 버전 권고(CVE-2023-45871, CVE-2023-31085)</t>
    </r>
    <phoneticPr fontId="8" type="noConversion"/>
  </si>
  <si>
    <r>
      <t xml:space="preserve">[양호] shadow 파일에 패스워드를 저장하고 있으므로 양호함
</t>
    </r>
    <r>
      <rPr>
        <sz val="8"/>
        <rFont val="돋움체"/>
        <family val="3"/>
        <charset val="129"/>
      </rPr>
      <t>[현황]
-------------
ls -alL /etc/shadow
-------------
-rw-r----- 1 root shadow 501 Oct  4 11:08 /etc/shadow</t>
    </r>
    <phoneticPr fontId="8" type="noConversion"/>
  </si>
  <si>
    <r>
      <t xml:space="preserve">[양호] PATH 설정에 '.' or '..'이 포함되어 있지 않으므로 양호함
</t>
    </r>
    <r>
      <rPr>
        <sz val="8"/>
        <rFont val="돋움체"/>
        <family val="3"/>
        <charset val="129"/>
      </rPr>
      <t>[현황]
/opt/java/openjdk/bin:/usr/local/sbin:/usr/local/bin:/usr/sbin:/usr/bin:/sbin:/bin</t>
    </r>
    <phoneticPr fontId="8" type="noConversion"/>
  </si>
  <si>
    <r>
      <t>[양호] /etc/passwd 파일의 퍼미션이 644이하이므로 양호함</t>
    </r>
    <r>
      <rPr>
        <sz val="8"/>
        <rFont val="돋움체"/>
        <family val="3"/>
        <charset val="129"/>
      </rPr>
      <t xml:space="preserve">
[현황]
-------------
/etc/passwd 파일 소유자 및 권한 확인
-------------
-rw-r--r-- 1 root root 922 Oct  4 11:08 /etc/passwd</t>
    </r>
    <phoneticPr fontId="8" type="noConversion"/>
  </si>
  <si>
    <r>
      <t xml:space="preserve">[양호] /etc/shadow 파일의 퍼미션이 400이하이므로 양호함
</t>
    </r>
    <r>
      <rPr>
        <sz val="8"/>
        <rFont val="돋움체"/>
        <family val="3"/>
        <charset val="129"/>
      </rPr>
      <t xml:space="preserve">
[현황]
-------------
/etc/shadow 파일 소유자 및 권한 확인
-------------
-rw-r----- 1 root shadow 501 Oct  4 11:08 /etc/shadow</t>
    </r>
    <phoneticPr fontId="8" type="noConversion"/>
  </si>
  <si>
    <r>
      <t xml:space="preserve">[양호] /etc/hosts 파일의 퍼미션이 644이하이므로 양호함
</t>
    </r>
    <r>
      <rPr>
        <sz val="8"/>
        <rFont val="돋움체"/>
        <family val="3"/>
        <charset val="129"/>
      </rPr>
      <t xml:space="preserve">
[현황]
-------------
/etc/hosts 파일 소유자 및 권한 확인
-------------
-rw-r--r-- 1 root root 230 Nov 21 10:37 /etc/hosts</t>
    </r>
    <phoneticPr fontId="8" type="noConversion"/>
  </si>
  <si>
    <r>
      <t xml:space="preserve">[취약] 주요 파일의 권한에 SUID/SGID에 대한 설정이 부여되어 있으므로 취약함
</t>
    </r>
    <r>
      <rPr>
        <sz val="8"/>
        <rFont val="돋움체"/>
        <family val="3"/>
        <charset val="129"/>
      </rPr>
      <t xml:space="preserve">
[현황]
-------------
주요 파일의 SUID/SGID 설정 확인
-------------
/sbin/dump 이 없습니다
/usr/bin/lpq-lpd 이 없습니다
-rwsr-xr-x 1 root root 40496 Nov 24  2022 /usr/bin/newgrp
/sbin/restore 이 없습니다
/usr/bin/lpr 이 없습니다
/usr/sbin/lpc 이 없습니다
-rwxr-sr-x 1 root shadow 26776 Feb  2  2023 /sbin/unix_chkpwd
/usr/bin/lpr-lpd 이 없습니다
/usr/sbin/lpc-lpd 이 없습니다
/usr/bin/at 이 없습니다
/usr/bin/lprm 이 없습니다
/usr/sbin/traceroute 이 없습니다
/usr/bin/lpq 이 없습니다
/usr/bin/lprm-lpd 이 없습니다</t>
    </r>
    <phoneticPr fontId="8" type="noConversion"/>
  </si>
  <si>
    <r>
      <t xml:space="preserve">[양호] 홈 디렉터리 환경변수 파일의 권한이 적절하므로 양호함
</t>
    </r>
    <r>
      <rPr>
        <sz val="8"/>
        <rFont val="돋움체"/>
        <family val="3"/>
        <charset val="129"/>
      </rPr>
      <t xml:space="preserve">
[현황]
-------------
나. 사용자 환경변수 파일의 권한 확인
-------------
-rw-r--r-- 1 root root 161 Jul  9  2019 /root/.profile
-rw-r--r-- 1 root root 3106 Oct 15  2021 /root/.bashrc</t>
    </r>
    <phoneticPr fontId="8" type="noConversion"/>
  </si>
  <si>
    <r>
      <t xml:space="preserve">[양호] 홈 디렉터리 환경변수 파일의 권한이 적절하므로 양호함
</t>
    </r>
    <r>
      <rPr>
        <sz val="8"/>
        <rFont val="돋움체"/>
        <family val="3"/>
        <charset val="129"/>
      </rPr>
      <t xml:space="preserve">
[현황]
-------------
나. 사용자 환경변수 파일의 권한 확인
-------------
-rw-r--r-- 1 root root 161 Jul  9  2019 /root/.profile
-rw-r--r-- 1 root root 571 Apr 11  2021 /root/.bashrc</t>
    </r>
    <phoneticPr fontId="8" type="noConversion"/>
  </si>
  <si>
    <r>
      <t xml:space="preserve">[취약] 취약점이 존재하는 버전을 사용중이므로 취약함
</t>
    </r>
    <r>
      <rPr>
        <sz val="8"/>
        <rFont val="돋움체"/>
        <family val="3"/>
        <charset val="129"/>
      </rPr>
      <t xml:space="preserve">
[현황]
-------------
Linux Version
-------------
DISTRIB_ID=Ubuntu
DISTRIB_RELEASE=22.04
DISTRIB_CODENAME=jammy
DISTRIB_DESCRIPTION="Ubuntu 22.04.3 LTS"
PRETTY_NAME="Ubuntu 22.04.3 LTS"
NAME="Ubuntu"
VERSION_ID="22.04"
VERSION="22.04.3 LTS (Jammy Jellyfish)"
VERSION_CODENAME=jammy
ID=ubuntu
ID_LIKE=debian
HOME_URL="https://www.ubuntu.com/"
SUPPORT_URL="https://help.ubuntu.com/"
BUG_REPORT_URL="https://bugs.launchpad.net/ubuntu/"
PRIVACY_POLICY_URL="https://www.ubuntu.com/legal/terms-and-policies/privacy-policy"
UBUNTU_CODENAME=jammy
-------------
Kernel Version
-------------
5.4.0-148-generic
</t>
    </r>
    <r>
      <rPr>
        <sz val="8"/>
        <color rgb="FFFF0000"/>
        <rFont val="돋움체"/>
        <family val="3"/>
        <charset val="129"/>
      </rPr>
      <t>*5.4.0-167.184 이상 버전 권고(CVE-2023-45871, CVE-2023-31085)</t>
    </r>
    <phoneticPr fontId="8" type="noConversion"/>
  </si>
  <si>
    <r>
      <t xml:space="preserve">[양호] shadow 파일에 패스워드를 저장하고 있으므로 양호함
</t>
    </r>
    <r>
      <rPr>
        <sz val="8"/>
        <rFont val="돋움체"/>
        <family val="3"/>
        <charset val="129"/>
      </rPr>
      <t>[현황]
-------------
ls -alL /etc/shadow
-------------
-rw-r----- 1 root shadow 607 Nov 22 13:48 /etc/shadow</t>
    </r>
    <phoneticPr fontId="8" type="noConversion"/>
  </si>
  <si>
    <r>
      <t>[양호] /etc/passwd 파일의 퍼미션이 644이하이므로 양호함</t>
    </r>
    <r>
      <rPr>
        <sz val="8"/>
        <rFont val="돋움체"/>
        <family val="3"/>
        <charset val="129"/>
      </rPr>
      <t xml:space="preserve">
[현황]
-------------
/etc/passwd 파일 소유자 및 권한 확인
-------------
-rw-r--r-- 1 root root 1139 Nov 22 13:48 /etc/passwd</t>
    </r>
    <phoneticPr fontId="8" type="noConversion"/>
  </si>
  <si>
    <r>
      <t xml:space="preserve">[양호] /etc/shadow 파일의 퍼미션이 400이하이므로 양호함
</t>
    </r>
    <r>
      <rPr>
        <sz val="8"/>
        <rFont val="돋움체"/>
        <family val="3"/>
        <charset val="129"/>
      </rPr>
      <t xml:space="preserve">
[현황]
-------------
/etc/shadow 파일 소유자 및 권한 확인
-------------
-rw-r----- 1 root shadow 607 Nov 22 13:48 /etc/shadow</t>
    </r>
    <phoneticPr fontId="8" type="noConversion"/>
  </si>
  <si>
    <r>
      <t xml:space="preserve">[양호] /etc/hosts 파일의 퍼미션이 644이하이므로 양호함
</t>
    </r>
    <r>
      <rPr>
        <sz val="8"/>
        <rFont val="돋움체"/>
        <family val="3"/>
        <charset val="129"/>
      </rPr>
      <t xml:space="preserve">
[현황]
-------------
/etc/hosts 파일 소유자 및 권한 확인
-------------
-rw-r--r-- 1 root root 217 Nov 23 15:34 /etc/hosts</t>
    </r>
    <phoneticPr fontId="8" type="noConversion"/>
  </si>
  <si>
    <r>
      <rPr>
        <b/>
        <sz val="8"/>
        <rFont val="돋움체"/>
        <family val="3"/>
        <charset val="129"/>
      </rPr>
      <t>[양호] 패스워드 복잡성 설정이 적절(9글자 이상, 영문 대</t>
    </r>
    <r>
      <rPr>
        <b/>
        <sz val="8"/>
        <rFont val="맑은 고딕"/>
        <family val="3"/>
        <charset val="129"/>
      </rPr>
      <t>〮</t>
    </r>
    <r>
      <rPr>
        <b/>
        <sz val="8"/>
        <rFont val="돋움체"/>
        <family val="3"/>
        <charset val="129"/>
      </rPr>
      <t xml:space="preserve">소문자, 숫자, 특수문자 1글자씩 사용)하고, enforce_for_root 설정이 되어있으므로 양호함
</t>
    </r>
    <r>
      <rPr>
        <sz val="8"/>
        <rFont val="돋움체"/>
        <family val="3"/>
        <charset val="129"/>
      </rPr>
      <t>[현황]
-------------
cat /etc/security/pwquality.conf
-------------
lcredit=1
ucredit=1
dcredit=1
ocredit=1
minlen=8
enforce_for_root</t>
    </r>
    <phoneticPr fontId="8" type="noConversion"/>
  </si>
  <si>
    <r>
      <t xml:space="preserve">[취약] 로그를 정기적으로 검토 및 보고를 하고 있지 않으므로 취약함
</t>
    </r>
    <r>
      <rPr>
        <sz val="8"/>
        <rFont val="돋움체"/>
        <family val="3"/>
        <charset val="129"/>
      </rPr>
      <t xml:space="preserve">[현황]
현재 로그 검토 및 보고 매커니즘이 설정되어 있지 않음
</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</si>
</sst>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0%"/>
    <numFmt numFmtId="177" formatCode="_-* #,##0\ _F_-;\-* #,##0\ _F_-;_-* &quot;-&quot;\ _F_-;_-@_-"/>
    <numFmt numFmtId="178" formatCode="_-* #,##0.00\ _F_-;\-* #,##0.00\ _F_-;_-* &quot;-&quot;??\ _F_-;_-@_-"/>
    <numFmt numFmtId="179" formatCode="_-* #,##0\ &quot;F&quot;_-;\-* #,##0\ &quot;F&quot;_-;_-* &quot;-&quot;\ &quot;F&quot;_-;_-@_-"/>
    <numFmt numFmtId="180" formatCode="_-* #,##0.00\ &quot;F&quot;_-;\-* #,##0.00\ &quot;F&quot;_-;_-* &quot;-&quot;??\ &quot;F&quot;_-;_-@_-"/>
    <numFmt numFmtId="181" formatCode="_ * #,##0_ ;_ * \-#,##0_ ;_ * &quot;-&quot;_ ;_ @_ "/>
    <numFmt numFmtId="182" formatCode="_ * #,##0.00_ ;_ * \-#,##0.00_ ;_ * &quot;-&quot;??_ ;_ @_ "/>
  </numFmts>
  <fonts count="60">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10"/>
      <name val="맑은 고딕"/>
      <family val="3"/>
      <charset val="129"/>
      <scheme val="minor"/>
    </font>
    <font>
      <sz val="8"/>
      <name val="맑은 고딕"/>
      <family val="3"/>
      <charset val="129"/>
      <scheme val="minor"/>
    </font>
    <font>
      <b/>
      <sz val="10"/>
      <name val="맑은 고딕"/>
      <family val="3"/>
      <charset val="129"/>
      <scheme val="minor"/>
    </font>
    <font>
      <sz val="8"/>
      <name val="돋움"/>
      <family val="3"/>
      <charset val="129"/>
    </font>
    <font>
      <sz val="8"/>
      <name val="맑은 고딕"/>
      <family val="3"/>
      <charset val="129"/>
    </font>
    <font>
      <sz val="11"/>
      <color theme="1"/>
      <name val="맑은 고딕"/>
      <family val="3"/>
      <charset val="129"/>
      <scheme val="minor"/>
    </font>
    <font>
      <u/>
      <sz val="11"/>
      <color indexed="12"/>
      <name val="돋움"/>
      <family val="3"/>
      <charset val="129"/>
    </font>
    <font>
      <sz val="11"/>
      <color indexed="8"/>
      <name val="맑은 고딕"/>
      <family val="3"/>
      <charset val="129"/>
    </font>
    <font>
      <sz val="11"/>
      <color indexed="9"/>
      <name val="맑은 고딕"/>
      <family val="3"/>
      <charset val="129"/>
    </font>
    <font>
      <sz val="10"/>
      <name val="Times New Roman"/>
      <family val="1"/>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0"/>
      <name val="Helv"/>
      <family val="2"/>
    </font>
    <font>
      <sz val="12"/>
      <name val="바탕체"/>
      <family val="1"/>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9"/>
      <color theme="1"/>
      <name val="맑은 고딕"/>
      <family val="3"/>
      <charset val="129"/>
      <scheme val="minor"/>
    </font>
    <font>
      <sz val="9"/>
      <color theme="1"/>
      <name val="돋움체"/>
      <family val="3"/>
      <charset val="129"/>
    </font>
    <font>
      <b/>
      <sz val="11"/>
      <name val="돋움체"/>
      <family val="3"/>
      <charset val="129"/>
    </font>
    <font>
      <sz val="8"/>
      <name val="돋움체"/>
      <family val="3"/>
      <charset val="129"/>
    </font>
    <font>
      <b/>
      <sz val="8"/>
      <color theme="0"/>
      <name val="돋움체"/>
      <family val="3"/>
      <charset val="129"/>
    </font>
    <font>
      <sz val="10"/>
      <name val="돋움체"/>
      <family val="3"/>
      <charset val="129"/>
    </font>
    <font>
      <sz val="9"/>
      <name val="돋움체"/>
      <family val="3"/>
      <charset val="129"/>
    </font>
    <font>
      <b/>
      <sz val="9"/>
      <color indexed="8"/>
      <name val="돋움체"/>
      <family val="3"/>
      <charset val="129"/>
    </font>
    <font>
      <b/>
      <sz val="9"/>
      <name val="돋움체"/>
      <family val="3"/>
      <charset val="129"/>
    </font>
    <font>
      <b/>
      <sz val="8"/>
      <color indexed="8"/>
      <name val="돋움체"/>
      <family val="3"/>
      <charset val="129"/>
    </font>
    <font>
      <sz val="8"/>
      <color indexed="8"/>
      <name val="돋움체"/>
      <family val="3"/>
      <charset val="129"/>
    </font>
    <font>
      <b/>
      <sz val="10"/>
      <name val="돋움체"/>
      <family val="3"/>
      <charset val="129"/>
    </font>
    <font>
      <b/>
      <sz val="9"/>
      <color theme="0"/>
      <name val="돋움체"/>
      <family val="3"/>
      <charset val="129"/>
    </font>
    <font>
      <sz val="9"/>
      <color indexed="8"/>
      <name val="돋움체"/>
      <family val="3"/>
      <charset val="129"/>
    </font>
    <font>
      <b/>
      <sz val="10"/>
      <color indexed="8"/>
      <name val="돋움체"/>
      <family val="3"/>
      <charset val="129"/>
    </font>
    <font>
      <b/>
      <sz val="10"/>
      <color indexed="10"/>
      <name val="돋움체"/>
      <family val="3"/>
      <charset val="129"/>
    </font>
    <font>
      <b/>
      <sz val="8"/>
      <name val="돋움체"/>
      <family val="3"/>
      <charset val="129"/>
    </font>
    <font>
      <u/>
      <sz val="11"/>
      <color indexed="12"/>
      <name val="돋움체"/>
      <family val="3"/>
      <charset val="129"/>
    </font>
    <font>
      <sz val="8"/>
      <color theme="0"/>
      <name val="돋움체"/>
      <family val="3"/>
      <charset val="129"/>
    </font>
    <font>
      <sz val="11"/>
      <name val="돋움체"/>
      <family val="3"/>
      <charset val="129"/>
    </font>
    <font>
      <sz val="10"/>
      <name val="Arial"/>
      <family val="2"/>
    </font>
    <font>
      <sz val="11"/>
      <color rgb="FF000000"/>
      <name val="나눔고딕"/>
      <family val="2"/>
      <charset val="1"/>
    </font>
    <font>
      <sz val="11"/>
      <color rgb="FF000000"/>
      <name val="Noto Sans CJK JP Regular"/>
      <family val="2"/>
    </font>
    <font>
      <u/>
      <sz val="8"/>
      <color theme="0"/>
      <name val="돋움체"/>
      <family val="3"/>
      <charset val="129"/>
    </font>
    <font>
      <b/>
      <sz val="8"/>
      <name val="맑은 고딕"/>
      <family val="3"/>
      <charset val="129"/>
    </font>
    <font>
      <sz val="8"/>
      <color rgb="FFFF0000"/>
      <name val="돋움체"/>
      <family val="3"/>
      <charset val="129"/>
    </font>
  </fonts>
  <fills count="30">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004EA2"/>
        <bgColor indexed="64"/>
      </patternFill>
    </fill>
    <fill>
      <patternFill patternType="solid">
        <fgColor rgb="FF002B69"/>
        <bgColor indexed="64"/>
      </patternFill>
    </fill>
    <fill>
      <patternFill patternType="solid">
        <fgColor rgb="FF85BFFF"/>
        <bgColor indexed="64"/>
      </patternFill>
    </fill>
    <fill>
      <patternFill patternType="solid">
        <fgColor rgb="FF8FC31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s>
  <cellStyleXfs count="1499">
    <xf numFmtId="0" fontId="0" fillId="0" borderId="0"/>
    <xf numFmtId="0" fontId="6" fillId="0" borderId="0"/>
    <xf numFmtId="0" fontId="6" fillId="0" borderId="0">
      <alignment vertical="center"/>
    </xf>
    <xf numFmtId="0" fontId="6" fillId="0" borderId="0"/>
    <xf numFmtId="0" fontId="12" fillId="0" borderId="0">
      <alignment vertical="center"/>
    </xf>
    <xf numFmtId="0" fontId="6" fillId="0" borderId="0"/>
    <xf numFmtId="0" fontId="6" fillId="0" borderId="0"/>
    <xf numFmtId="9" fontId="6" fillId="0" borderId="0" applyFont="0" applyFill="0" applyBorder="0" applyAlignment="0" applyProtection="0">
      <alignment vertical="center"/>
    </xf>
    <xf numFmtId="0" fontId="13" fillId="0" borderId="0" applyNumberFormat="0" applyFill="0" applyBorder="0" applyAlignment="0" applyProtection="0">
      <alignment vertical="top"/>
      <protection locked="0"/>
    </xf>
    <xf numFmtId="0" fontId="6" fillId="0" borderId="0" applyNumberFormat="0" applyFill="0" applyBorder="0" applyAlignment="0" applyProtection="0"/>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4" fillId="13"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177" fontId="16" fillId="0" borderId="0" applyFont="0" applyFill="0" applyBorder="0" applyAlignment="0" applyProtection="0"/>
    <xf numFmtId="178" fontId="16" fillId="0" borderId="0" applyFont="0" applyFill="0" applyBorder="0" applyAlignment="0" applyProtection="0"/>
    <xf numFmtId="179" fontId="16" fillId="0" borderId="0" applyFont="0" applyFill="0" applyBorder="0" applyAlignment="0" applyProtection="0"/>
    <xf numFmtId="180" fontId="16" fillId="0" borderId="0" applyFont="0" applyFill="0" applyBorder="0" applyAlignment="0" applyProtection="0"/>
    <xf numFmtId="0" fontId="16" fillId="0" borderId="0"/>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20"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5" fillId="21"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8" fillId="22" borderId="17" applyNumberFormat="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0" fontId="6" fillId="23" borderId="18" applyNumberFormat="0" applyFont="0" applyAlignment="0" applyProtection="0">
      <alignment vertical="center"/>
    </xf>
    <xf numFmtId="9" fontId="14" fillId="0" borderId="0" applyFont="0" applyFill="0" applyBorder="0" applyAlignment="0" applyProtection="0">
      <alignment vertical="center"/>
    </xf>
    <xf numFmtId="9" fontId="6" fillId="0" borderId="0" applyFont="0" applyFill="0" applyBorder="0" applyAlignment="0" applyProtection="0"/>
    <xf numFmtId="9" fontId="6" fillId="0" borderId="0" applyFont="0" applyFill="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0" fillId="24"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0" fontId="22" fillId="25" borderId="19" applyNumberFormat="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23" fillId="0" borderId="0"/>
    <xf numFmtId="0" fontId="23" fillId="0" borderId="0"/>
    <xf numFmtId="0" fontId="24" fillId="0" borderId="0"/>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5" fillId="0" borderId="20"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6" fillId="0" borderId="21" applyNumberFormat="0" applyFill="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7" fillId="9" borderId="17" applyNumberFormat="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8" fillId="0" borderId="22"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29" fillId="0" borderId="23"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24" applyNumberFormat="0" applyFill="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2" fillId="6" borderId="0" applyNumberFormat="0" applyBorder="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0" fontId="33" fillId="22" borderId="25" applyNumberFormat="0" applyAlignment="0" applyProtection="0">
      <alignment vertical="center"/>
    </xf>
    <xf numFmtId="181" fontId="24" fillId="0" borderId="0" applyFont="0" applyFill="0" applyBorder="0" applyAlignment="0" applyProtection="0"/>
    <xf numFmtId="182" fontId="24" fillId="0" borderId="0" applyFont="0" applyFill="0" applyBorder="0" applyAlignment="0" applyProtection="0"/>
    <xf numFmtId="0" fontId="6"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4" fillId="0" borderId="0">
      <alignment vertical="center"/>
    </xf>
    <xf numFmtId="0" fontId="6"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6" fillId="0" borderId="0"/>
    <xf numFmtId="0" fontId="6" fillId="0" borderId="0"/>
    <xf numFmtId="0" fontId="6" fillId="0" borderId="0"/>
    <xf numFmtId="0" fontId="6" fillId="0" borderId="0"/>
    <xf numFmtId="0" fontId="6"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alignment vertical="center"/>
    </xf>
    <xf numFmtId="0" fontId="6" fillId="0" borderId="0"/>
    <xf numFmtId="0" fontId="6" fillId="0" borderId="0"/>
    <xf numFmtId="0" fontId="12" fillId="0" borderId="0">
      <alignment vertical="center"/>
    </xf>
    <xf numFmtId="0" fontId="34"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center"/>
    </xf>
    <xf numFmtId="0" fontId="12"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center"/>
    </xf>
    <xf numFmtId="0" fontId="6" fillId="0" borderId="0">
      <alignment vertical="center"/>
    </xf>
    <xf numFmtId="0" fontId="12" fillId="0" borderId="0">
      <alignment vertical="center"/>
    </xf>
    <xf numFmtId="0" fontId="6" fillId="0" borderId="0"/>
    <xf numFmtId="0" fontId="6" fillId="0" borderId="0"/>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2" fillId="0" borderId="0">
      <alignment vertical="center"/>
    </xf>
    <xf numFmtId="0" fontId="12" fillId="0" borderId="0">
      <alignment vertical="center"/>
    </xf>
    <xf numFmtId="0" fontId="6" fillId="0" borderId="0"/>
    <xf numFmtId="0" fontId="6" fillId="0" borderId="0"/>
    <xf numFmtId="0" fontId="12" fillId="0" borderId="0">
      <alignment vertical="center"/>
    </xf>
    <xf numFmtId="0" fontId="6" fillId="0" borderId="0"/>
    <xf numFmtId="0" fontId="6"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6"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6"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6" fillId="0" borderId="0">
      <alignment vertical="center"/>
    </xf>
    <xf numFmtId="0" fontId="5" fillId="0" borderId="0">
      <alignment vertical="center"/>
    </xf>
    <xf numFmtId="0" fontId="5" fillId="0" borderId="0">
      <alignment vertical="center"/>
    </xf>
    <xf numFmtId="0" fontId="54" fillId="0" borderId="0"/>
    <xf numFmtId="0" fontId="5" fillId="0" borderId="0">
      <alignment vertical="center"/>
    </xf>
    <xf numFmtId="0" fontId="5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4"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204">
    <xf numFmtId="0" fontId="0" fillId="0" borderId="0" xfId="0"/>
    <xf numFmtId="0" fontId="7" fillId="0" borderId="0" xfId="1" applyFont="1"/>
    <xf numFmtId="0" fontId="9" fillId="0" borderId="0" xfId="1" applyFont="1" applyAlignment="1">
      <alignment horizontal="right"/>
    </xf>
    <xf numFmtId="0" fontId="7" fillId="0" borderId="0" xfId="1" applyFont="1" applyAlignment="1">
      <alignment vertical="center" wrapText="1"/>
    </xf>
    <xf numFmtId="0" fontId="9" fillId="0" borderId="0" xfId="1" applyFont="1" applyAlignment="1">
      <alignment vertical="center" wrapText="1"/>
    </xf>
    <xf numFmtId="14" fontId="7" fillId="0" borderId="0" xfId="1" applyNumberFormat="1" applyFont="1"/>
    <xf numFmtId="14" fontId="7" fillId="0" borderId="0" xfId="1" applyNumberFormat="1" applyFont="1" applyAlignment="1">
      <alignment vertical="center" wrapText="1"/>
    </xf>
    <xf numFmtId="0" fontId="36" fillId="0" borderId="0" xfId="2" applyFont="1">
      <alignment vertical="center"/>
    </xf>
    <xf numFmtId="0" fontId="37" fillId="0" borderId="0" xfId="2" applyFont="1">
      <alignment vertical="center"/>
    </xf>
    <xf numFmtId="0" fontId="36" fillId="0" borderId="0" xfId="1" applyFont="1" applyAlignment="1">
      <alignment vertical="center"/>
    </xf>
    <xf numFmtId="0" fontId="40" fillId="0" borderId="0" xfId="1" applyFont="1" applyAlignment="1">
      <alignment horizontal="left"/>
    </xf>
    <xf numFmtId="0" fontId="40" fillId="0" borderId="0" xfId="1" applyFont="1"/>
    <xf numFmtId="0" fontId="40" fillId="0" borderId="0" xfId="1" applyFont="1" applyAlignment="1">
      <alignment horizontal="center"/>
    </xf>
    <xf numFmtId="0" fontId="41" fillId="2" borderId="1" xfId="4" applyFont="1" applyFill="1" applyBorder="1" applyAlignment="1">
      <alignment horizontal="center" vertical="center" wrapText="1"/>
    </xf>
    <xf numFmtId="0" fontId="42" fillId="0" borderId="0" xfId="1" applyFont="1" applyAlignment="1">
      <alignment horizontal="left" vertical="center"/>
    </xf>
    <xf numFmtId="0" fontId="40" fillId="0" borderId="1" xfId="1" applyFont="1" applyBorder="1" applyAlignment="1">
      <alignment horizontal="center" vertical="center"/>
    </xf>
    <xf numFmtId="0" fontId="42" fillId="0" borderId="0" xfId="5" applyFont="1" applyAlignment="1">
      <alignment vertical="center"/>
    </xf>
    <xf numFmtId="0" fontId="40" fillId="0" borderId="1" xfId="5" applyFont="1" applyBorder="1" applyAlignment="1">
      <alignment horizontal="center" vertical="center"/>
    </xf>
    <xf numFmtId="0" fontId="40" fillId="0" borderId="5" xfId="1" applyFont="1" applyBorder="1"/>
    <xf numFmtId="0" fontId="40" fillId="0" borderId="0" xfId="5" applyFont="1"/>
    <xf numFmtId="0" fontId="40" fillId="0" borderId="0" xfId="5" applyFont="1" applyAlignment="1">
      <alignment vertical="center"/>
    </xf>
    <xf numFmtId="0" fontId="39" fillId="0" borderId="0" xfId="2" applyFont="1">
      <alignment vertical="center"/>
    </xf>
    <xf numFmtId="0" fontId="45" fillId="0" borderId="0" xfId="2" applyFont="1" applyAlignment="1">
      <alignment horizontal="left" vertical="center"/>
    </xf>
    <xf numFmtId="0" fontId="42" fillId="0" borderId="0" xfId="2" applyFont="1" applyAlignment="1">
      <alignment horizontal="left" vertical="center"/>
    </xf>
    <xf numFmtId="0" fontId="45" fillId="0" borderId="0" xfId="1" applyFont="1" applyAlignment="1">
      <alignment vertical="center"/>
    </xf>
    <xf numFmtId="0" fontId="39" fillId="0" borderId="0" xfId="1" applyFont="1"/>
    <xf numFmtId="0" fontId="46" fillId="26" borderId="1" xfId="1" applyFont="1" applyFill="1" applyBorder="1" applyAlignment="1">
      <alignment horizontal="center" vertical="center" wrapText="1"/>
    </xf>
    <xf numFmtId="0" fontId="40" fillId="0" borderId="1" xfId="6" applyFont="1" applyBorder="1" applyAlignment="1">
      <alignment horizontal="center" vertical="center"/>
    </xf>
    <xf numFmtId="0" fontId="47" fillId="0" borderId="1" xfId="2" applyFont="1" applyBorder="1" applyAlignment="1">
      <alignment horizontal="center" vertical="center" wrapText="1"/>
    </xf>
    <xf numFmtId="176" fontId="47" fillId="0" borderId="1" xfId="2" applyNumberFormat="1" applyFont="1" applyBorder="1" applyAlignment="1">
      <alignment horizontal="center" vertical="center" wrapText="1"/>
    </xf>
    <xf numFmtId="9" fontId="49" fillId="0" borderId="0" xfId="1" applyNumberFormat="1" applyFont="1" applyAlignment="1">
      <alignment horizontal="center" vertical="center" wrapText="1"/>
    </xf>
    <xf numFmtId="0" fontId="45" fillId="0" borderId="0" xfId="1" applyFont="1" applyAlignment="1">
      <alignment vertical="top" wrapText="1"/>
    </xf>
    <xf numFmtId="0" fontId="40" fillId="28" borderId="2" xfId="1" applyFont="1" applyFill="1" applyBorder="1"/>
    <xf numFmtId="0" fontId="41" fillId="28" borderId="1" xfId="2" applyFont="1" applyFill="1" applyBorder="1" applyAlignment="1">
      <alignment horizontal="center" vertical="center" wrapText="1"/>
    </xf>
    <xf numFmtId="176" fontId="42" fillId="28" borderId="1" xfId="2" applyNumberFormat="1" applyFont="1" applyFill="1" applyBorder="1" applyAlignment="1">
      <alignment horizontal="center" vertical="center" wrapText="1"/>
    </xf>
    <xf numFmtId="0" fontId="48" fillId="0" borderId="0" xfId="1" applyFont="1" applyAlignment="1">
      <alignment horizontal="center" vertical="center" wrapText="1"/>
    </xf>
    <xf numFmtId="0" fontId="48" fillId="0" borderId="0" xfId="2" applyFont="1" applyAlignment="1">
      <alignment horizontal="center" vertical="center" wrapText="1"/>
    </xf>
    <xf numFmtId="9" fontId="45" fillId="0" borderId="0" xfId="2" applyNumberFormat="1" applyFont="1" applyAlignment="1">
      <alignment horizontal="center" vertical="center" wrapText="1"/>
    </xf>
    <xf numFmtId="0" fontId="40" fillId="0" borderId="0" xfId="6" applyFont="1" applyAlignment="1">
      <alignment vertical="center"/>
    </xf>
    <xf numFmtId="0" fontId="38" fillId="26" borderId="1" xfId="1" applyFont="1" applyFill="1" applyBorder="1" applyAlignment="1">
      <alignment horizontal="center" vertical="center" wrapText="1"/>
    </xf>
    <xf numFmtId="0" fontId="44" fillId="0" borderId="1" xfId="1" applyFont="1" applyBorder="1" applyAlignment="1">
      <alignment horizontal="center" vertical="center" wrapText="1"/>
    </xf>
    <xf numFmtId="176" fontId="44" fillId="0" borderId="1" xfId="7" applyNumberFormat="1" applyFont="1" applyFill="1" applyBorder="1" applyAlignment="1">
      <alignment horizontal="center" vertical="center" wrapText="1"/>
    </xf>
    <xf numFmtId="0" fontId="43" fillId="28" borderId="1" xfId="1" applyFont="1" applyFill="1" applyBorder="1" applyAlignment="1">
      <alignment horizontal="center" vertical="center" wrapText="1"/>
    </xf>
    <xf numFmtId="176" fontId="50" fillId="28" borderId="1" xfId="1" applyNumberFormat="1" applyFont="1" applyFill="1" applyBorder="1" applyAlignment="1">
      <alignment horizontal="center" vertical="center" wrapText="1"/>
    </xf>
    <xf numFmtId="0" fontId="50" fillId="0" borderId="0" xfId="4" applyFont="1">
      <alignment vertical="center"/>
    </xf>
    <xf numFmtId="0" fontId="50" fillId="0" borderId="0" xfId="2" applyFont="1" applyAlignment="1">
      <alignment horizontal="left" vertical="center"/>
    </xf>
    <xf numFmtId="0" fontId="50" fillId="0" borderId="0" xfId="4" applyFont="1" applyAlignment="1">
      <alignment horizontal="left" vertical="center"/>
    </xf>
    <xf numFmtId="0" fontId="51" fillId="0" borderId="0" xfId="8" applyFont="1" applyFill="1" applyAlignment="1" applyProtection="1">
      <alignment horizontal="center" vertical="center"/>
    </xf>
    <xf numFmtId="0" fontId="50" fillId="0" borderId="0" xfId="4" applyFont="1" applyAlignment="1">
      <alignment horizontal="center" vertical="center"/>
    </xf>
    <xf numFmtId="0" fontId="38" fillId="27" borderId="7" xfId="4" applyFont="1" applyFill="1" applyBorder="1" applyAlignment="1">
      <alignment horizontal="center" vertical="center"/>
    </xf>
    <xf numFmtId="0" fontId="37" fillId="0" borderId="0" xfId="4" applyFont="1" applyAlignment="1">
      <alignment horizontal="center" vertical="center"/>
    </xf>
    <xf numFmtId="0" fontId="38" fillId="27" borderId="1" xfId="4" applyFont="1" applyFill="1" applyBorder="1" applyAlignment="1">
      <alignment horizontal="center" vertical="center"/>
    </xf>
    <xf numFmtId="0" fontId="46" fillId="26" borderId="1" xfId="6" applyFont="1" applyFill="1" applyBorder="1" applyAlignment="1">
      <alignment horizontal="center" vertical="center"/>
    </xf>
    <xf numFmtId="0" fontId="46" fillId="26" borderId="2" xfId="6" applyFont="1" applyFill="1" applyBorder="1" applyAlignment="1">
      <alignment horizontal="center" vertical="center"/>
    </xf>
    <xf numFmtId="0" fontId="38" fillId="26" borderId="2" xfId="6" applyFont="1" applyFill="1" applyBorder="1" applyAlignment="1">
      <alignment vertical="center"/>
    </xf>
    <xf numFmtId="0" fontId="52" fillId="26" borderId="3" xfId="4" applyFont="1" applyFill="1" applyBorder="1" applyAlignment="1">
      <alignment horizontal="center" vertical="center"/>
    </xf>
    <xf numFmtId="0" fontId="52" fillId="26" borderId="3" xfId="4" applyFont="1" applyFill="1" applyBorder="1" applyAlignment="1">
      <alignment horizontal="left" vertical="center" wrapText="1"/>
    </xf>
    <xf numFmtId="0" fontId="38" fillId="26" borderId="3" xfId="4" applyFont="1" applyFill="1" applyBorder="1" applyAlignment="1">
      <alignment horizontal="center" vertical="center"/>
    </xf>
    <xf numFmtId="0" fontId="37" fillId="0" borderId="1" xfId="4" applyFont="1" applyBorder="1" applyAlignment="1">
      <alignment horizontal="center" vertical="center"/>
    </xf>
    <xf numFmtId="0" fontId="37" fillId="0" borderId="1" xfId="4" applyFont="1" applyBorder="1" applyAlignment="1">
      <alignment horizontal="left" vertical="center" wrapText="1"/>
    </xf>
    <xf numFmtId="0" fontId="37" fillId="0" borderId="1" xfId="4" applyFont="1" applyBorder="1" applyAlignment="1">
      <alignment horizontal="center" vertical="center" wrapText="1"/>
    </xf>
    <xf numFmtId="0" fontId="50" fillId="29" borderId="1" xfId="4" applyFont="1" applyFill="1" applyBorder="1" applyAlignment="1">
      <alignment horizontal="center" vertical="center"/>
    </xf>
    <xf numFmtId="0" fontId="37" fillId="0" borderId="0" xfId="4" applyFont="1">
      <alignment vertical="center"/>
    </xf>
    <xf numFmtId="0" fontId="42" fillId="0" borderId="1" xfId="6" applyFont="1" applyBorder="1" applyAlignment="1">
      <alignment horizontal="center" vertical="center"/>
    </xf>
    <xf numFmtId="0" fontId="50" fillId="28" borderId="10" xfId="4" applyFont="1" applyFill="1" applyBorder="1" applyAlignment="1">
      <alignment horizontal="center" vertical="center" wrapText="1"/>
    </xf>
    <xf numFmtId="0" fontId="50" fillId="28" borderId="1" xfId="4" applyFont="1" applyFill="1" applyBorder="1" applyAlignment="1">
      <alignment vertical="center" wrapText="1"/>
    </xf>
    <xf numFmtId="0" fontId="50" fillId="28" borderId="1" xfId="4" applyFont="1" applyFill="1" applyBorder="1">
      <alignment vertical="center"/>
    </xf>
    <xf numFmtId="0" fontId="50" fillId="28" borderId="1" xfId="4" applyFont="1" applyFill="1" applyBorder="1" applyAlignment="1">
      <alignment horizontal="center" vertical="center"/>
    </xf>
    <xf numFmtId="0" fontId="37" fillId="0" borderId="0" xfId="4" applyFont="1" applyAlignment="1">
      <alignment horizontal="left" vertical="center"/>
    </xf>
    <xf numFmtId="0" fontId="36" fillId="0" borderId="0" xfId="5" applyFont="1" applyAlignment="1">
      <alignment vertical="center"/>
    </xf>
    <xf numFmtId="0" fontId="36" fillId="0" borderId="0" xfId="5" applyFont="1" applyAlignment="1">
      <alignment horizontal="left" vertical="center"/>
    </xf>
    <xf numFmtId="0" fontId="42" fillId="0" borderId="0" xfId="5" applyFont="1" applyAlignment="1">
      <alignment horizontal="left" vertical="center"/>
    </xf>
    <xf numFmtId="0" fontId="50" fillId="0" borderId="0" xfId="5" applyFont="1" applyAlignment="1">
      <alignment horizontal="center" vertical="center"/>
    </xf>
    <xf numFmtId="0" fontId="37" fillId="0" borderId="0" xfId="5" applyFont="1" applyAlignment="1">
      <alignment vertical="center"/>
    </xf>
    <xf numFmtId="0" fontId="53" fillId="0" borderId="0" xfId="2" applyFont="1">
      <alignment vertical="center"/>
    </xf>
    <xf numFmtId="0" fontId="50" fillId="0" borderId="0" xfId="5" applyFont="1" applyAlignment="1">
      <alignment vertical="center"/>
    </xf>
    <xf numFmtId="0" fontId="50" fillId="0" borderId="8" xfId="5" applyFont="1" applyBorder="1" applyAlignment="1">
      <alignment vertical="center"/>
    </xf>
    <xf numFmtId="0" fontId="50" fillId="0" borderId="0" xfId="5" applyFont="1" applyAlignment="1">
      <alignment horizontal="left" vertical="center"/>
    </xf>
    <xf numFmtId="0" fontId="37" fillId="0" borderId="0" xfId="5" applyFont="1" applyAlignment="1">
      <alignment vertical="center" wrapText="1"/>
    </xf>
    <xf numFmtId="0" fontId="37" fillId="0" borderId="0" xfId="5" applyFont="1" applyAlignment="1">
      <alignment horizontal="center" vertical="center"/>
    </xf>
    <xf numFmtId="0" fontId="50" fillId="0" borderId="0" xfId="5" applyFont="1" applyAlignment="1">
      <alignment horizontal="left" vertical="center" indent="2"/>
    </xf>
    <xf numFmtId="0" fontId="50" fillId="0" borderId="0" xfId="6" applyFont="1" applyAlignment="1">
      <alignment vertical="center"/>
    </xf>
    <xf numFmtId="0" fontId="50" fillId="0" borderId="0" xfId="6" applyFont="1" applyAlignment="1">
      <alignment horizontal="center" vertical="center" wrapText="1"/>
    </xf>
    <xf numFmtId="0" fontId="38" fillId="26" borderId="2" xfId="3" applyFont="1" applyFill="1" applyBorder="1" applyAlignment="1">
      <alignment horizontal="center" vertical="center"/>
    </xf>
    <xf numFmtId="0" fontId="38" fillId="26" borderId="2" xfId="6" applyFont="1" applyFill="1" applyBorder="1" applyAlignment="1">
      <alignment horizontal="center" vertical="center" wrapText="1"/>
    </xf>
    <xf numFmtId="0" fontId="38" fillId="26" borderId="1" xfId="6" applyFont="1" applyFill="1" applyBorder="1" applyAlignment="1">
      <alignment horizontal="center" vertical="center"/>
    </xf>
    <xf numFmtId="0" fontId="37" fillId="0" borderId="0" xfId="6" applyFont="1" applyAlignment="1">
      <alignment vertical="center"/>
    </xf>
    <xf numFmtId="0" fontId="50" fillId="0" borderId="0" xfId="6" applyFont="1" applyAlignment="1">
      <alignment horizontal="center" vertical="center"/>
    </xf>
    <xf numFmtId="0" fontId="37" fillId="0" borderId="1" xfId="6" applyFont="1" applyBorder="1" applyAlignment="1">
      <alignment horizontal="center" vertical="center"/>
    </xf>
    <xf numFmtId="0" fontId="37" fillId="0" borderId="2" xfId="6" applyFont="1" applyBorder="1" applyAlignment="1">
      <alignment horizontal="center" vertical="center"/>
    </xf>
    <xf numFmtId="9" fontId="37" fillId="0" borderId="1" xfId="6" applyNumberFormat="1" applyFont="1" applyBorder="1" applyAlignment="1">
      <alignment horizontal="center" vertical="center"/>
    </xf>
    <xf numFmtId="9" fontId="37" fillId="0" borderId="0" xfId="6" applyNumberFormat="1" applyFont="1" applyAlignment="1">
      <alignment horizontal="center" vertical="center"/>
    </xf>
    <xf numFmtId="0" fontId="37" fillId="0" borderId="0" xfId="6" applyFont="1" applyAlignment="1">
      <alignment horizontal="center" vertical="center"/>
    </xf>
    <xf numFmtId="0" fontId="50" fillId="28" borderId="14" xfId="6" applyFont="1" applyFill="1" applyBorder="1" applyAlignment="1">
      <alignment vertical="center"/>
    </xf>
    <xf numFmtId="0" fontId="50" fillId="28" borderId="15" xfId="6" applyFont="1" applyFill="1" applyBorder="1" applyAlignment="1">
      <alignment vertical="center"/>
    </xf>
    <xf numFmtId="0" fontId="50" fillId="28" borderId="14" xfId="6" applyFont="1" applyFill="1" applyBorder="1" applyAlignment="1">
      <alignment horizontal="center" vertical="center"/>
    </xf>
    <xf numFmtId="176" fontId="50" fillId="28" borderId="16" xfId="6" applyNumberFormat="1" applyFont="1" applyFill="1" applyBorder="1" applyAlignment="1">
      <alignment horizontal="center" vertical="center"/>
    </xf>
    <xf numFmtId="176" fontId="50" fillId="0" borderId="0" xfId="6" applyNumberFormat="1" applyFont="1" applyAlignment="1">
      <alignment horizontal="center" vertical="center"/>
    </xf>
    <xf numFmtId="0" fontId="50" fillId="0" borderId="11" xfId="5" applyFont="1" applyBorder="1" applyAlignment="1">
      <alignment vertical="center"/>
    </xf>
    <xf numFmtId="0" fontId="37" fillId="0" borderId="0" xfId="5" applyFont="1" applyAlignment="1">
      <alignment horizontal="right" vertical="center"/>
    </xf>
    <xf numFmtId="0" fontId="50" fillId="2" borderId="1" xfId="5" applyFont="1" applyFill="1" applyBorder="1" applyAlignment="1" applyProtection="1">
      <alignment horizontal="center" vertical="center" wrapText="1"/>
      <protection locked="0"/>
    </xf>
    <xf numFmtId="0" fontId="38" fillId="26" borderId="1" xfId="5" applyFont="1" applyFill="1" applyBorder="1" applyAlignment="1">
      <alignment vertical="center"/>
    </xf>
    <xf numFmtId="0" fontId="38" fillId="26" borderId="2" xfId="5" applyFont="1" applyFill="1" applyBorder="1" applyAlignment="1">
      <alignment vertical="center"/>
    </xf>
    <xf numFmtId="0" fontId="38" fillId="26" borderId="3" xfId="5" applyFont="1" applyFill="1" applyBorder="1" applyAlignment="1">
      <alignment vertical="center"/>
    </xf>
    <xf numFmtId="0" fontId="38" fillId="26" borderId="4" xfId="5" applyFont="1" applyFill="1" applyBorder="1" applyAlignment="1">
      <alignment vertical="center"/>
    </xf>
    <xf numFmtId="0" fontId="37" fillId="0" borderId="1" xfId="5" applyFont="1" applyBorder="1" applyAlignment="1" applyProtection="1">
      <alignment horizontal="center" vertical="center" wrapText="1"/>
      <protection locked="0"/>
    </xf>
    <xf numFmtId="0" fontId="37" fillId="0" borderId="1" xfId="5" applyFont="1" applyBorder="1" applyAlignment="1">
      <alignment horizontal="center" vertical="center" wrapText="1"/>
    </xf>
    <xf numFmtId="0" fontId="37" fillId="0" borderId="1" xfId="5" applyFont="1" applyBorder="1" applyAlignment="1">
      <alignment vertical="center"/>
    </xf>
    <xf numFmtId="0" fontId="37" fillId="0" borderId="4" xfId="5" applyFont="1" applyBorder="1" applyAlignment="1" applyProtection="1">
      <alignment vertical="center" wrapText="1"/>
      <protection locked="0"/>
    </xf>
    <xf numFmtId="0" fontId="40" fillId="0" borderId="0" xfId="5" applyFont="1" applyAlignment="1">
      <alignment horizontal="center" vertical="center"/>
    </xf>
    <xf numFmtId="0" fontId="39" fillId="0" borderId="0" xfId="1" applyFont="1" applyAlignment="1">
      <alignment horizontal="left"/>
    </xf>
    <xf numFmtId="0" fontId="39" fillId="0" borderId="0" xfId="1" applyFont="1" applyAlignment="1">
      <alignment horizontal="left" wrapText="1"/>
    </xf>
    <xf numFmtId="0" fontId="46" fillId="27" borderId="1" xfId="4" applyFont="1" applyFill="1" applyBorder="1" applyAlignment="1">
      <alignment vertical="center" wrapText="1"/>
    </xf>
    <xf numFmtId="0" fontId="46" fillId="26" borderId="1" xfId="4" applyFont="1" applyFill="1" applyBorder="1">
      <alignment vertical="center"/>
    </xf>
    <xf numFmtId="0" fontId="46" fillId="26" borderId="2" xfId="4" applyFont="1" applyFill="1" applyBorder="1">
      <alignment vertical="center"/>
    </xf>
    <xf numFmtId="0" fontId="46" fillId="26" borderId="3" xfId="4" applyFont="1" applyFill="1" applyBorder="1">
      <alignment vertical="center"/>
    </xf>
    <xf numFmtId="0" fontId="46" fillId="26" borderId="4" xfId="4" applyFont="1" applyFill="1" applyBorder="1" applyAlignment="1">
      <alignment horizontal="center" vertical="center"/>
    </xf>
    <xf numFmtId="0" fontId="40" fillId="0" borderId="1" xfId="1" applyFont="1" applyBorder="1"/>
    <xf numFmtId="0" fontId="41" fillId="0" borderId="1" xfId="4" applyFont="1" applyBorder="1" applyAlignment="1">
      <alignment horizontal="center" vertical="center" wrapText="1"/>
    </xf>
    <xf numFmtId="0" fontId="47" fillId="3" borderId="1" xfId="4" applyFont="1" applyFill="1" applyBorder="1" applyAlignment="1">
      <alignment vertical="center" wrapText="1"/>
    </xf>
    <xf numFmtId="0" fontId="41" fillId="0" borderId="1" xfId="4" applyFont="1" applyBorder="1" applyAlignment="1">
      <alignment vertical="center" wrapText="1"/>
    </xf>
    <xf numFmtId="0" fontId="35" fillId="3" borderId="1" xfId="2" applyFont="1" applyFill="1" applyBorder="1">
      <alignment vertical="center"/>
    </xf>
    <xf numFmtId="0" fontId="35" fillId="3" borderId="3" xfId="2" applyFont="1" applyFill="1" applyBorder="1">
      <alignment vertical="center"/>
    </xf>
    <xf numFmtId="0" fontId="40" fillId="0" borderId="2" xfId="1" applyFont="1" applyBorder="1"/>
    <xf numFmtId="0" fontId="41" fillId="0" borderId="2" xfId="4" applyFont="1" applyBorder="1" applyAlignment="1">
      <alignment vertical="center" wrapText="1"/>
    </xf>
    <xf numFmtId="0" fontId="37" fillId="0" borderId="0" xfId="2" applyFont="1" applyAlignment="1">
      <alignment vertical="center" wrapText="1"/>
    </xf>
    <xf numFmtId="0" fontId="35" fillId="3" borderId="0" xfId="0" applyFont="1" applyFill="1" applyAlignment="1">
      <alignment horizontal="center" vertical="center"/>
    </xf>
    <xf numFmtId="49" fontId="37" fillId="0" borderId="0" xfId="2" applyNumberFormat="1" applyFont="1">
      <alignment vertical="center"/>
    </xf>
    <xf numFmtId="0" fontId="37" fillId="0" borderId="0" xfId="0" applyFont="1" applyAlignment="1" applyProtection="1">
      <alignment horizontal="center" vertical="center" wrapText="1"/>
      <protection locked="0"/>
    </xf>
    <xf numFmtId="0" fontId="37" fillId="0" borderId="27" xfId="5" applyFont="1" applyBorder="1" applyAlignment="1" applyProtection="1">
      <alignment horizontal="center" vertical="center" wrapText="1"/>
      <protection locked="0"/>
    </xf>
    <xf numFmtId="0" fontId="38" fillId="26" borderId="28" xfId="5" applyFont="1" applyFill="1" applyBorder="1" applyAlignment="1">
      <alignment vertical="center"/>
    </xf>
    <xf numFmtId="0" fontId="46" fillId="27" borderId="1" xfId="4" applyFont="1" applyFill="1" applyBorder="1" applyAlignment="1">
      <alignment horizontal="center" vertical="center" wrapText="1"/>
    </xf>
    <xf numFmtId="0" fontId="46" fillId="26" borderId="1" xfId="4" applyFont="1" applyFill="1" applyBorder="1" applyAlignment="1">
      <alignment horizontal="center" vertical="center"/>
    </xf>
    <xf numFmtId="18" fontId="36" fillId="0" borderId="0" xfId="5" applyNumberFormat="1" applyFont="1" applyAlignment="1">
      <alignment vertical="center"/>
    </xf>
    <xf numFmtId="0" fontId="37" fillId="0" borderId="1" xfId="2" applyFont="1" applyBorder="1" applyAlignment="1">
      <alignment horizontal="center" vertical="center"/>
    </xf>
    <xf numFmtId="0" fontId="37" fillId="0" borderId="0" xfId="2" applyFont="1" applyAlignment="1">
      <alignment horizontal="center" vertical="center"/>
    </xf>
    <xf numFmtId="0" fontId="37" fillId="0" borderId="0" xfId="1" applyFont="1" applyAlignment="1">
      <alignment horizontal="left"/>
    </xf>
    <xf numFmtId="0" fontId="37" fillId="0" borderId="0" xfId="1" applyFont="1"/>
    <xf numFmtId="0" fontId="37" fillId="0" borderId="0" xfId="1" applyFont="1" applyAlignment="1">
      <alignment horizontal="center"/>
    </xf>
    <xf numFmtId="0" fontId="46" fillId="26" borderId="1" xfId="1" applyFont="1" applyFill="1" applyBorder="1" applyAlignment="1">
      <alignment horizontal="center" vertical="center" shrinkToFit="1"/>
    </xf>
    <xf numFmtId="0" fontId="37" fillId="0" borderId="1" xfId="5" applyFont="1" applyBorder="1" applyAlignment="1">
      <alignment horizontal="center" vertical="center"/>
    </xf>
    <xf numFmtId="0" fontId="38" fillId="26" borderId="2" xfId="6" applyFont="1" applyFill="1" applyBorder="1" applyAlignment="1">
      <alignment horizontal="center" vertical="center"/>
    </xf>
    <xf numFmtId="0" fontId="38" fillId="27" borderId="1" xfId="5" applyFont="1" applyFill="1" applyBorder="1" applyAlignment="1" applyProtection="1">
      <alignment horizontal="center" vertical="center" wrapText="1"/>
      <protection locked="0"/>
    </xf>
    <xf numFmtId="0" fontId="38" fillId="27" borderId="1" xfId="5" applyFont="1" applyFill="1" applyBorder="1" applyAlignment="1" applyProtection="1">
      <alignment horizontal="center" vertical="center"/>
      <protection locked="0"/>
    </xf>
    <xf numFmtId="0" fontId="57" fillId="27" borderId="1" xfId="8" applyFont="1" applyFill="1" applyBorder="1" applyAlignment="1" applyProtection="1">
      <alignment horizontal="center" vertical="center"/>
    </xf>
    <xf numFmtId="0" fontId="50" fillId="0" borderId="26" xfId="5" applyFont="1" applyBorder="1" applyAlignment="1">
      <alignment vertical="top" wrapText="1"/>
    </xf>
    <xf numFmtId="0" fontId="37" fillId="0" borderId="26" xfId="5" applyFont="1" applyBorder="1" applyAlignment="1">
      <alignment vertical="top" wrapText="1"/>
    </xf>
    <xf numFmtId="0" fontId="38" fillId="26" borderId="28" xfId="5" applyFont="1" applyFill="1" applyBorder="1" applyAlignment="1">
      <alignment vertical="top" wrapText="1"/>
    </xf>
    <xf numFmtId="0" fontId="38" fillId="26" borderId="28" xfId="5" applyFont="1" applyFill="1" applyBorder="1" applyAlignment="1">
      <alignment vertical="top"/>
    </xf>
    <xf numFmtId="0" fontId="50" fillId="0" borderId="1" xfId="5" applyFont="1" applyBorder="1" applyAlignment="1">
      <alignment vertical="top" wrapText="1"/>
    </xf>
    <xf numFmtId="0" fontId="37" fillId="0" borderId="1" xfId="5" applyFont="1" applyBorder="1" applyAlignment="1">
      <alignment vertical="top" wrapText="1"/>
    </xf>
    <xf numFmtId="0" fontId="38" fillId="26" borderId="30" xfId="3" applyFont="1" applyFill="1" applyBorder="1" applyAlignment="1">
      <alignment horizontal="center" vertical="center"/>
    </xf>
    <xf numFmtId="0" fontId="38" fillId="26" borderId="1" xfId="3" applyFont="1" applyFill="1" applyBorder="1" applyAlignment="1">
      <alignment horizontal="center" vertical="center"/>
    </xf>
    <xf numFmtId="0" fontId="38" fillId="26" borderId="30" xfId="3" applyFont="1" applyFill="1" applyBorder="1" applyAlignment="1">
      <alignment horizontal="center" vertical="center" wrapText="1"/>
    </xf>
    <xf numFmtId="0" fontId="38" fillId="26" borderId="1" xfId="3" applyFont="1" applyFill="1" applyBorder="1" applyAlignment="1">
      <alignment horizontal="center" vertical="center" wrapText="1"/>
    </xf>
    <xf numFmtId="0" fontId="38" fillId="26" borderId="31" xfId="3" applyFont="1" applyFill="1" applyBorder="1" applyAlignment="1">
      <alignment horizontal="center" vertical="center"/>
    </xf>
    <xf numFmtId="0" fontId="38" fillId="26" borderId="33" xfId="3" applyFont="1" applyFill="1" applyBorder="1" applyAlignment="1">
      <alignment horizontal="center" vertical="center"/>
    </xf>
    <xf numFmtId="0" fontId="38" fillId="26" borderId="29" xfId="3" applyFont="1" applyFill="1" applyBorder="1" applyAlignment="1">
      <alignment horizontal="center" vertical="center"/>
    </xf>
    <xf numFmtId="0" fontId="38" fillId="26" borderId="32" xfId="3" applyFont="1" applyFill="1" applyBorder="1" applyAlignment="1">
      <alignment horizontal="center" vertical="center"/>
    </xf>
    <xf numFmtId="49" fontId="38" fillId="26" borderId="30" xfId="3" applyNumberFormat="1" applyFont="1" applyFill="1" applyBorder="1" applyAlignment="1">
      <alignment horizontal="center" vertical="center"/>
    </xf>
    <xf numFmtId="49" fontId="38" fillId="26" borderId="1" xfId="3" applyNumberFormat="1" applyFont="1" applyFill="1" applyBorder="1" applyAlignment="1">
      <alignment horizontal="center" vertical="center"/>
    </xf>
    <xf numFmtId="49" fontId="38" fillId="26" borderId="34" xfId="3" applyNumberFormat="1" applyFont="1" applyFill="1" applyBorder="1" applyAlignment="1">
      <alignment horizontal="center" vertical="center"/>
    </xf>
    <xf numFmtId="49" fontId="38" fillId="26" borderId="9" xfId="3" applyNumberFormat="1" applyFont="1" applyFill="1" applyBorder="1" applyAlignment="1">
      <alignment horizontal="center" vertical="center"/>
    </xf>
    <xf numFmtId="0" fontId="46" fillId="27" borderId="1" xfId="4" applyFont="1" applyFill="1" applyBorder="1" applyAlignment="1">
      <alignment horizontal="center" vertical="center" wrapText="1"/>
    </xf>
    <xf numFmtId="0" fontId="43" fillId="28" borderId="27" xfId="1" applyFont="1" applyFill="1" applyBorder="1" applyAlignment="1">
      <alignment horizontal="center" vertical="center" wrapText="1"/>
    </xf>
    <xf numFmtId="0" fontId="43" fillId="28" borderId="28" xfId="1" applyFont="1" applyFill="1" applyBorder="1" applyAlignment="1">
      <alignment horizontal="center" vertical="center" wrapText="1"/>
    </xf>
    <xf numFmtId="0" fontId="43" fillId="28" borderId="35" xfId="1" applyFont="1" applyFill="1" applyBorder="1" applyAlignment="1">
      <alignment horizontal="center" vertical="center" wrapText="1"/>
    </xf>
    <xf numFmtId="0" fontId="43" fillId="0" borderId="1" xfId="2" applyFont="1" applyBorder="1" applyAlignment="1">
      <alignment horizontal="center" vertical="center" wrapText="1"/>
    </xf>
    <xf numFmtId="0" fontId="44" fillId="0" borderId="1" xfId="1" applyFont="1" applyBorder="1" applyAlignment="1">
      <alignment horizontal="center" vertical="center" wrapText="1"/>
    </xf>
    <xf numFmtId="0" fontId="38" fillId="26" borderId="1" xfId="1" applyFont="1" applyFill="1" applyBorder="1" applyAlignment="1">
      <alignment horizontal="center" vertical="center" wrapText="1"/>
    </xf>
    <xf numFmtId="0" fontId="46" fillId="26" borderId="1" xfId="1" applyFont="1" applyFill="1" applyBorder="1" applyAlignment="1">
      <alignment horizontal="center" vertical="center" wrapText="1"/>
    </xf>
    <xf numFmtId="0" fontId="40" fillId="0" borderId="2" xfId="6" applyFont="1" applyBorder="1" applyAlignment="1">
      <alignment vertical="center"/>
    </xf>
    <xf numFmtId="0" fontId="40" fillId="0" borderId="3" xfId="6" applyFont="1" applyBorder="1" applyAlignment="1">
      <alignment vertical="center"/>
    </xf>
    <xf numFmtId="0" fontId="40" fillId="0" borderId="4" xfId="6" applyFont="1" applyBorder="1" applyAlignment="1">
      <alignment vertical="center"/>
    </xf>
    <xf numFmtId="0" fontId="41" fillId="28" borderId="3" xfId="1" applyFont="1" applyFill="1" applyBorder="1" applyAlignment="1">
      <alignment horizontal="center" vertical="center" wrapText="1"/>
    </xf>
    <xf numFmtId="0" fontId="41" fillId="28" borderId="4" xfId="1" applyFont="1" applyFill="1" applyBorder="1" applyAlignment="1">
      <alignment horizontal="center" vertical="center" wrapText="1"/>
    </xf>
    <xf numFmtId="0" fontId="38" fillId="27" borderId="1" xfId="4" applyFont="1" applyFill="1" applyBorder="1" applyAlignment="1">
      <alignment horizontal="center" vertical="center"/>
    </xf>
    <xf numFmtId="0" fontId="38" fillId="27" borderId="6" xfId="4" applyFont="1" applyFill="1" applyBorder="1" applyAlignment="1">
      <alignment horizontal="center" vertical="center"/>
    </xf>
    <xf numFmtId="0" fontId="38" fillId="27" borderId="9" xfId="4" applyFont="1" applyFill="1" applyBorder="1" applyAlignment="1">
      <alignment horizontal="center" vertical="center"/>
    </xf>
    <xf numFmtId="0" fontId="38" fillId="27" borderId="7" xfId="4" applyFont="1" applyFill="1" applyBorder="1" applyAlignment="1">
      <alignment horizontal="center" vertical="center"/>
    </xf>
    <xf numFmtId="0" fontId="38" fillId="27" borderId="8" xfId="4" applyFont="1" applyFill="1" applyBorder="1" applyAlignment="1">
      <alignment horizontal="center" vertical="center"/>
    </xf>
    <xf numFmtId="0" fontId="38" fillId="27" borderId="13" xfId="4" applyFont="1" applyFill="1" applyBorder="1" applyAlignment="1">
      <alignment horizontal="center" vertical="center"/>
    </xf>
    <xf numFmtId="0" fontId="37" fillId="0" borderId="1" xfId="5" applyFont="1" applyBorder="1" applyAlignment="1">
      <alignment vertical="center" wrapText="1"/>
    </xf>
    <xf numFmtId="0" fontId="37" fillId="0" borderId="2" xfId="5" applyFont="1" applyBorder="1" applyAlignment="1">
      <alignment horizontal="left" vertical="center" wrapText="1"/>
    </xf>
    <xf numFmtId="0" fontId="37" fillId="0" borderId="3" xfId="5" applyFont="1" applyBorder="1" applyAlignment="1">
      <alignment horizontal="left" vertical="center" wrapText="1"/>
    </xf>
    <xf numFmtId="0" fontId="37" fillId="0" borderId="4" xfId="5" applyFont="1" applyBorder="1" applyAlignment="1">
      <alignment horizontal="left" vertical="center" wrapText="1"/>
    </xf>
    <xf numFmtId="0" fontId="37" fillId="0" borderId="2" xfId="6" applyFont="1" applyBorder="1" applyAlignment="1">
      <alignment horizontal="center" vertical="center"/>
    </xf>
    <xf numFmtId="0" fontId="37" fillId="0" borderId="4" xfId="6" applyFont="1" applyBorder="1" applyAlignment="1">
      <alignment horizontal="center" vertical="center"/>
    </xf>
    <xf numFmtId="0" fontId="38" fillId="27" borderId="1" xfId="5" applyFont="1" applyFill="1" applyBorder="1" applyAlignment="1" applyProtection="1">
      <alignment horizontal="center" vertical="center" wrapText="1"/>
      <protection locked="0"/>
    </xf>
    <xf numFmtId="0" fontId="38" fillId="26" borderId="1" xfId="5" applyFont="1" applyFill="1" applyBorder="1" applyAlignment="1">
      <alignment horizontal="center" vertical="center"/>
    </xf>
    <xf numFmtId="0" fontId="37" fillId="0" borderId="2" xfId="5" applyFont="1" applyBorder="1" applyAlignment="1">
      <alignment horizontal="center" vertical="center" wrapText="1"/>
    </xf>
    <xf numFmtId="0" fontId="37" fillId="0" borderId="4" xfId="5" applyFont="1" applyBorder="1" applyAlignment="1">
      <alignment horizontal="center" vertical="center" wrapText="1"/>
    </xf>
    <xf numFmtId="0" fontId="37" fillId="0" borderId="1" xfId="5" applyFont="1" applyBorder="1" applyAlignment="1">
      <alignment horizontal="center" vertical="center"/>
    </xf>
    <xf numFmtId="0" fontId="38" fillId="26" borderId="10" xfId="6" applyFont="1" applyFill="1" applyBorder="1" applyAlignment="1">
      <alignment horizontal="center" vertical="center"/>
    </xf>
    <xf numFmtId="0" fontId="38" fillId="26" borderId="11" xfId="6" applyFont="1" applyFill="1" applyBorder="1" applyAlignment="1">
      <alignment horizontal="center" vertical="center"/>
    </xf>
    <xf numFmtId="0" fontId="38" fillId="26" borderId="12" xfId="6" applyFont="1" applyFill="1" applyBorder="1" applyAlignment="1">
      <alignment horizontal="center" vertical="center"/>
    </xf>
    <xf numFmtId="0" fontId="38" fillId="26" borderId="7" xfId="6" applyFont="1" applyFill="1" applyBorder="1" applyAlignment="1">
      <alignment horizontal="center" vertical="center"/>
    </xf>
    <xf numFmtId="0" fontId="38" fillId="26" borderId="8" xfId="6" applyFont="1" applyFill="1" applyBorder="1" applyAlignment="1">
      <alignment horizontal="center" vertical="center"/>
    </xf>
    <xf numFmtId="0" fontId="38" fillId="26" borderId="13" xfId="6" applyFont="1" applyFill="1" applyBorder="1" applyAlignment="1">
      <alignment horizontal="center" vertical="center"/>
    </xf>
    <xf numFmtId="0" fontId="38" fillId="26" borderId="2" xfId="6" applyFont="1" applyFill="1" applyBorder="1" applyAlignment="1">
      <alignment horizontal="center" vertical="center"/>
    </xf>
    <xf numFmtId="0" fontId="38" fillId="26" borderId="3" xfId="6" applyFont="1" applyFill="1" applyBorder="1" applyAlignment="1">
      <alignment horizontal="center" vertical="center"/>
    </xf>
    <xf numFmtId="0" fontId="38" fillId="26" borderId="4" xfId="6" applyFont="1" applyFill="1" applyBorder="1" applyAlignment="1">
      <alignment horizontal="center" vertical="center"/>
    </xf>
    <xf numFmtId="0" fontId="50" fillId="0" borderId="2" xfId="5" applyFont="1" applyBorder="1" applyAlignment="1">
      <alignment horizontal="center" vertical="center" wrapText="1"/>
    </xf>
    <xf numFmtId="0" fontId="50" fillId="0" borderId="4" xfId="5" applyFont="1" applyBorder="1" applyAlignment="1">
      <alignment horizontal="center" vertical="center" wrapText="1"/>
    </xf>
  </cellXfs>
  <cellStyles count="1499">
    <cellStyle name="_x0014_" xfId="1472" xr:uid="{00000000-0005-0000-0000-000000000000}"/>
    <cellStyle name="_x000a_386grabber=M" xfId="9" xr:uid="{00000000-0005-0000-0000-000001000000}"/>
    <cellStyle name="20% - 강조색1 2" xfId="10" xr:uid="{00000000-0005-0000-0000-000002000000}"/>
    <cellStyle name="20% - 강조색1 2 2" xfId="11" xr:uid="{00000000-0005-0000-0000-000003000000}"/>
    <cellStyle name="20% - 강조색1 2 2 2" xfId="12" xr:uid="{00000000-0005-0000-0000-000004000000}"/>
    <cellStyle name="20% - 강조색1 2 3" xfId="13" xr:uid="{00000000-0005-0000-0000-000005000000}"/>
    <cellStyle name="20% - 강조색1 2 3 2" xfId="14" xr:uid="{00000000-0005-0000-0000-000006000000}"/>
    <cellStyle name="20% - 강조색1 2 4" xfId="15" xr:uid="{00000000-0005-0000-0000-000007000000}"/>
    <cellStyle name="20% - 강조색1 2 4 2" xfId="16" xr:uid="{00000000-0005-0000-0000-000008000000}"/>
    <cellStyle name="20% - 강조색1 2 5" xfId="17" xr:uid="{00000000-0005-0000-0000-000009000000}"/>
    <cellStyle name="20% - 강조색1 2 5 2" xfId="18" xr:uid="{00000000-0005-0000-0000-00000A000000}"/>
    <cellStyle name="20% - 강조색1 2 6" xfId="19" xr:uid="{00000000-0005-0000-0000-00000B000000}"/>
    <cellStyle name="20% - 강조색1 2 6 2" xfId="20" xr:uid="{00000000-0005-0000-0000-00000C000000}"/>
    <cellStyle name="20% - 강조색1 2 7" xfId="21" xr:uid="{00000000-0005-0000-0000-00000D000000}"/>
    <cellStyle name="20% - 강조색1 3" xfId="22" xr:uid="{00000000-0005-0000-0000-00000E000000}"/>
    <cellStyle name="20% - 강조색1 3 2" xfId="23" xr:uid="{00000000-0005-0000-0000-00000F000000}"/>
    <cellStyle name="20% - 강조색1 3 2 2" xfId="24" xr:uid="{00000000-0005-0000-0000-000010000000}"/>
    <cellStyle name="20% - 강조색1 3 3" xfId="25" xr:uid="{00000000-0005-0000-0000-000011000000}"/>
    <cellStyle name="20% - 강조색1 3 3 2" xfId="26" xr:uid="{00000000-0005-0000-0000-000012000000}"/>
    <cellStyle name="20% - 강조색1 3 4" xfId="27" xr:uid="{00000000-0005-0000-0000-000013000000}"/>
    <cellStyle name="20% - 강조색1 3 4 2" xfId="28" xr:uid="{00000000-0005-0000-0000-000014000000}"/>
    <cellStyle name="20% - 강조색1 3 5" xfId="29" xr:uid="{00000000-0005-0000-0000-000015000000}"/>
    <cellStyle name="20% - 강조색1 3 5 2" xfId="30" xr:uid="{00000000-0005-0000-0000-000016000000}"/>
    <cellStyle name="20% - 강조색1 3 6" xfId="31" xr:uid="{00000000-0005-0000-0000-000017000000}"/>
    <cellStyle name="20% - 강조색1 3 6 2" xfId="32" xr:uid="{00000000-0005-0000-0000-000018000000}"/>
    <cellStyle name="20% - 강조색1 3 7" xfId="33" xr:uid="{00000000-0005-0000-0000-000019000000}"/>
    <cellStyle name="20% - 강조색1 4" xfId="34" xr:uid="{00000000-0005-0000-0000-00001A000000}"/>
    <cellStyle name="20% - 강조색1 4 2" xfId="35" xr:uid="{00000000-0005-0000-0000-00001B000000}"/>
    <cellStyle name="20% - 강조색1 4 2 2" xfId="36" xr:uid="{00000000-0005-0000-0000-00001C000000}"/>
    <cellStyle name="20% - 강조색1 4 3" xfId="37" xr:uid="{00000000-0005-0000-0000-00001D000000}"/>
    <cellStyle name="20% - 강조색1 4 3 2" xfId="38" xr:uid="{00000000-0005-0000-0000-00001E000000}"/>
    <cellStyle name="20% - 강조색1 4 4" xfId="39" xr:uid="{00000000-0005-0000-0000-00001F000000}"/>
    <cellStyle name="20% - 강조색1 4 4 2" xfId="40" xr:uid="{00000000-0005-0000-0000-000020000000}"/>
    <cellStyle name="20% - 강조색1 4 5" xfId="41" xr:uid="{00000000-0005-0000-0000-000021000000}"/>
    <cellStyle name="20% - 강조색1 4 5 2" xfId="42" xr:uid="{00000000-0005-0000-0000-000022000000}"/>
    <cellStyle name="20% - 강조색1 4 6" xfId="43" xr:uid="{00000000-0005-0000-0000-000023000000}"/>
    <cellStyle name="20% - 강조색1 4 6 2" xfId="44" xr:uid="{00000000-0005-0000-0000-000024000000}"/>
    <cellStyle name="20% - 강조색1 4 7" xfId="45" xr:uid="{00000000-0005-0000-0000-000025000000}"/>
    <cellStyle name="20% - 강조색1 5" xfId="46" xr:uid="{00000000-0005-0000-0000-000026000000}"/>
    <cellStyle name="20% - 강조색1 5 2" xfId="47" xr:uid="{00000000-0005-0000-0000-000027000000}"/>
    <cellStyle name="20% - 강조색1 5 2 2" xfId="48" xr:uid="{00000000-0005-0000-0000-000028000000}"/>
    <cellStyle name="20% - 강조색1 5 3" xfId="49" xr:uid="{00000000-0005-0000-0000-000029000000}"/>
    <cellStyle name="20% - 강조색1 5 3 2" xfId="50" xr:uid="{00000000-0005-0000-0000-00002A000000}"/>
    <cellStyle name="20% - 강조색1 5 4" xfId="51" xr:uid="{00000000-0005-0000-0000-00002B000000}"/>
    <cellStyle name="20% - 강조색1 5 4 2" xfId="52" xr:uid="{00000000-0005-0000-0000-00002C000000}"/>
    <cellStyle name="20% - 강조색1 5 5" xfId="53" xr:uid="{00000000-0005-0000-0000-00002D000000}"/>
    <cellStyle name="20% - 강조색1 5 5 2" xfId="54" xr:uid="{00000000-0005-0000-0000-00002E000000}"/>
    <cellStyle name="20% - 강조색1 5 6" xfId="55" xr:uid="{00000000-0005-0000-0000-00002F000000}"/>
    <cellStyle name="20% - 강조색1 5 6 2" xfId="56" xr:uid="{00000000-0005-0000-0000-000030000000}"/>
    <cellStyle name="20% - 강조색1 5 7" xfId="57" xr:uid="{00000000-0005-0000-0000-000031000000}"/>
    <cellStyle name="20% - 강조색2 2" xfId="58" xr:uid="{00000000-0005-0000-0000-000032000000}"/>
    <cellStyle name="20% - 강조색2 2 2" xfId="59" xr:uid="{00000000-0005-0000-0000-000033000000}"/>
    <cellStyle name="20% - 강조색2 2 2 2" xfId="60" xr:uid="{00000000-0005-0000-0000-000034000000}"/>
    <cellStyle name="20% - 강조색2 2 3" xfId="61" xr:uid="{00000000-0005-0000-0000-000035000000}"/>
    <cellStyle name="20% - 강조색2 2 3 2" xfId="62" xr:uid="{00000000-0005-0000-0000-000036000000}"/>
    <cellStyle name="20% - 강조색2 2 4" xfId="63" xr:uid="{00000000-0005-0000-0000-000037000000}"/>
    <cellStyle name="20% - 강조색2 2 4 2" xfId="64" xr:uid="{00000000-0005-0000-0000-000038000000}"/>
    <cellStyle name="20% - 강조색2 2 5" xfId="65" xr:uid="{00000000-0005-0000-0000-000039000000}"/>
    <cellStyle name="20% - 강조색2 2 5 2" xfId="66" xr:uid="{00000000-0005-0000-0000-00003A000000}"/>
    <cellStyle name="20% - 강조색2 2 6" xfId="67" xr:uid="{00000000-0005-0000-0000-00003B000000}"/>
    <cellStyle name="20% - 강조색2 2 6 2" xfId="68" xr:uid="{00000000-0005-0000-0000-00003C000000}"/>
    <cellStyle name="20% - 강조색2 2 7" xfId="69" xr:uid="{00000000-0005-0000-0000-00003D000000}"/>
    <cellStyle name="20% - 강조색2 3" xfId="70" xr:uid="{00000000-0005-0000-0000-00003E000000}"/>
    <cellStyle name="20% - 강조색2 3 2" xfId="71" xr:uid="{00000000-0005-0000-0000-00003F000000}"/>
    <cellStyle name="20% - 강조색2 3 2 2" xfId="72" xr:uid="{00000000-0005-0000-0000-000040000000}"/>
    <cellStyle name="20% - 강조색2 3 3" xfId="73" xr:uid="{00000000-0005-0000-0000-000041000000}"/>
    <cellStyle name="20% - 강조색2 3 3 2" xfId="74" xr:uid="{00000000-0005-0000-0000-000042000000}"/>
    <cellStyle name="20% - 강조색2 3 4" xfId="75" xr:uid="{00000000-0005-0000-0000-000043000000}"/>
    <cellStyle name="20% - 강조색2 3 4 2" xfId="76" xr:uid="{00000000-0005-0000-0000-000044000000}"/>
    <cellStyle name="20% - 강조색2 3 5" xfId="77" xr:uid="{00000000-0005-0000-0000-000045000000}"/>
    <cellStyle name="20% - 강조색2 3 5 2" xfId="78" xr:uid="{00000000-0005-0000-0000-000046000000}"/>
    <cellStyle name="20% - 강조색2 3 6" xfId="79" xr:uid="{00000000-0005-0000-0000-000047000000}"/>
    <cellStyle name="20% - 강조색2 3 6 2" xfId="80" xr:uid="{00000000-0005-0000-0000-000048000000}"/>
    <cellStyle name="20% - 강조색2 3 7" xfId="81" xr:uid="{00000000-0005-0000-0000-000049000000}"/>
    <cellStyle name="20% - 강조색2 4" xfId="82" xr:uid="{00000000-0005-0000-0000-00004A000000}"/>
    <cellStyle name="20% - 강조색2 4 2" xfId="83" xr:uid="{00000000-0005-0000-0000-00004B000000}"/>
    <cellStyle name="20% - 강조색2 4 2 2" xfId="84" xr:uid="{00000000-0005-0000-0000-00004C000000}"/>
    <cellStyle name="20% - 강조색2 4 3" xfId="85" xr:uid="{00000000-0005-0000-0000-00004D000000}"/>
    <cellStyle name="20% - 강조색2 4 3 2" xfId="86" xr:uid="{00000000-0005-0000-0000-00004E000000}"/>
    <cellStyle name="20% - 강조색2 4 4" xfId="87" xr:uid="{00000000-0005-0000-0000-00004F000000}"/>
    <cellStyle name="20% - 강조색2 4 4 2" xfId="88" xr:uid="{00000000-0005-0000-0000-000050000000}"/>
    <cellStyle name="20% - 강조색2 4 5" xfId="89" xr:uid="{00000000-0005-0000-0000-000051000000}"/>
    <cellStyle name="20% - 강조색2 4 5 2" xfId="90" xr:uid="{00000000-0005-0000-0000-000052000000}"/>
    <cellStyle name="20% - 강조색2 4 6" xfId="91" xr:uid="{00000000-0005-0000-0000-000053000000}"/>
    <cellStyle name="20% - 강조색2 4 6 2" xfId="92" xr:uid="{00000000-0005-0000-0000-000054000000}"/>
    <cellStyle name="20% - 강조색2 4 7" xfId="93" xr:uid="{00000000-0005-0000-0000-000055000000}"/>
    <cellStyle name="20% - 강조색2 5" xfId="94" xr:uid="{00000000-0005-0000-0000-000056000000}"/>
    <cellStyle name="20% - 강조색2 5 2" xfId="95" xr:uid="{00000000-0005-0000-0000-000057000000}"/>
    <cellStyle name="20% - 강조색2 5 2 2" xfId="96" xr:uid="{00000000-0005-0000-0000-000058000000}"/>
    <cellStyle name="20% - 강조색2 5 3" xfId="97" xr:uid="{00000000-0005-0000-0000-000059000000}"/>
    <cellStyle name="20% - 강조색2 5 3 2" xfId="98" xr:uid="{00000000-0005-0000-0000-00005A000000}"/>
    <cellStyle name="20% - 강조색2 5 4" xfId="99" xr:uid="{00000000-0005-0000-0000-00005B000000}"/>
    <cellStyle name="20% - 강조색2 5 4 2" xfId="100" xr:uid="{00000000-0005-0000-0000-00005C000000}"/>
    <cellStyle name="20% - 강조색2 5 5" xfId="101" xr:uid="{00000000-0005-0000-0000-00005D000000}"/>
    <cellStyle name="20% - 강조색2 5 5 2" xfId="102" xr:uid="{00000000-0005-0000-0000-00005E000000}"/>
    <cellStyle name="20% - 강조색2 5 6" xfId="103" xr:uid="{00000000-0005-0000-0000-00005F000000}"/>
    <cellStyle name="20% - 강조색2 5 6 2" xfId="104" xr:uid="{00000000-0005-0000-0000-000060000000}"/>
    <cellStyle name="20% - 강조색2 5 7" xfId="105" xr:uid="{00000000-0005-0000-0000-000061000000}"/>
    <cellStyle name="20% - 강조색3 2" xfId="106" xr:uid="{00000000-0005-0000-0000-000062000000}"/>
    <cellStyle name="20% - 강조색3 2 2" xfId="107" xr:uid="{00000000-0005-0000-0000-000063000000}"/>
    <cellStyle name="20% - 강조색3 2 2 2" xfId="108" xr:uid="{00000000-0005-0000-0000-000064000000}"/>
    <cellStyle name="20% - 강조색3 2 3" xfId="109" xr:uid="{00000000-0005-0000-0000-000065000000}"/>
    <cellStyle name="20% - 강조색3 2 3 2" xfId="110" xr:uid="{00000000-0005-0000-0000-000066000000}"/>
    <cellStyle name="20% - 강조색3 2 4" xfId="111" xr:uid="{00000000-0005-0000-0000-000067000000}"/>
    <cellStyle name="20% - 강조색3 2 4 2" xfId="112" xr:uid="{00000000-0005-0000-0000-000068000000}"/>
    <cellStyle name="20% - 강조색3 2 5" xfId="113" xr:uid="{00000000-0005-0000-0000-000069000000}"/>
    <cellStyle name="20% - 강조색3 2 5 2" xfId="114" xr:uid="{00000000-0005-0000-0000-00006A000000}"/>
    <cellStyle name="20% - 강조색3 2 6" xfId="115" xr:uid="{00000000-0005-0000-0000-00006B000000}"/>
    <cellStyle name="20% - 강조색3 2 6 2" xfId="116" xr:uid="{00000000-0005-0000-0000-00006C000000}"/>
    <cellStyle name="20% - 강조색3 2 7" xfId="117" xr:uid="{00000000-0005-0000-0000-00006D000000}"/>
    <cellStyle name="20% - 강조색3 3" xfId="118" xr:uid="{00000000-0005-0000-0000-00006E000000}"/>
    <cellStyle name="20% - 강조색3 3 2" xfId="119" xr:uid="{00000000-0005-0000-0000-00006F000000}"/>
    <cellStyle name="20% - 강조색3 3 2 2" xfId="120" xr:uid="{00000000-0005-0000-0000-000070000000}"/>
    <cellStyle name="20% - 강조색3 3 3" xfId="121" xr:uid="{00000000-0005-0000-0000-000071000000}"/>
    <cellStyle name="20% - 강조색3 3 3 2" xfId="122" xr:uid="{00000000-0005-0000-0000-000072000000}"/>
    <cellStyle name="20% - 강조색3 3 4" xfId="123" xr:uid="{00000000-0005-0000-0000-000073000000}"/>
    <cellStyle name="20% - 강조색3 3 4 2" xfId="124" xr:uid="{00000000-0005-0000-0000-000074000000}"/>
    <cellStyle name="20% - 강조색3 3 5" xfId="125" xr:uid="{00000000-0005-0000-0000-000075000000}"/>
    <cellStyle name="20% - 강조색3 3 5 2" xfId="126" xr:uid="{00000000-0005-0000-0000-000076000000}"/>
    <cellStyle name="20% - 강조색3 3 6" xfId="127" xr:uid="{00000000-0005-0000-0000-000077000000}"/>
    <cellStyle name="20% - 강조색3 3 6 2" xfId="128" xr:uid="{00000000-0005-0000-0000-000078000000}"/>
    <cellStyle name="20% - 강조색3 3 7" xfId="129" xr:uid="{00000000-0005-0000-0000-000079000000}"/>
    <cellStyle name="20% - 강조색3 4" xfId="130" xr:uid="{00000000-0005-0000-0000-00007A000000}"/>
    <cellStyle name="20% - 강조색3 4 2" xfId="131" xr:uid="{00000000-0005-0000-0000-00007B000000}"/>
    <cellStyle name="20% - 강조색3 4 2 2" xfId="132" xr:uid="{00000000-0005-0000-0000-00007C000000}"/>
    <cellStyle name="20% - 강조색3 4 3" xfId="133" xr:uid="{00000000-0005-0000-0000-00007D000000}"/>
    <cellStyle name="20% - 강조색3 4 3 2" xfId="134" xr:uid="{00000000-0005-0000-0000-00007E000000}"/>
    <cellStyle name="20% - 강조색3 4 4" xfId="135" xr:uid="{00000000-0005-0000-0000-00007F000000}"/>
    <cellStyle name="20% - 강조색3 4 4 2" xfId="136" xr:uid="{00000000-0005-0000-0000-000080000000}"/>
    <cellStyle name="20% - 강조색3 4 5" xfId="137" xr:uid="{00000000-0005-0000-0000-000081000000}"/>
    <cellStyle name="20% - 강조색3 4 5 2" xfId="138" xr:uid="{00000000-0005-0000-0000-000082000000}"/>
    <cellStyle name="20% - 강조색3 4 6" xfId="139" xr:uid="{00000000-0005-0000-0000-000083000000}"/>
    <cellStyle name="20% - 강조색3 4 6 2" xfId="140" xr:uid="{00000000-0005-0000-0000-000084000000}"/>
    <cellStyle name="20% - 강조색3 4 7" xfId="141" xr:uid="{00000000-0005-0000-0000-000085000000}"/>
    <cellStyle name="20% - 강조색3 5" xfId="142" xr:uid="{00000000-0005-0000-0000-000086000000}"/>
    <cellStyle name="20% - 강조색3 5 2" xfId="143" xr:uid="{00000000-0005-0000-0000-000087000000}"/>
    <cellStyle name="20% - 강조색3 5 2 2" xfId="144" xr:uid="{00000000-0005-0000-0000-000088000000}"/>
    <cellStyle name="20% - 강조색3 5 3" xfId="145" xr:uid="{00000000-0005-0000-0000-000089000000}"/>
    <cellStyle name="20% - 강조색3 5 3 2" xfId="146" xr:uid="{00000000-0005-0000-0000-00008A000000}"/>
    <cellStyle name="20% - 강조색3 5 4" xfId="147" xr:uid="{00000000-0005-0000-0000-00008B000000}"/>
    <cellStyle name="20% - 강조색3 5 4 2" xfId="148" xr:uid="{00000000-0005-0000-0000-00008C000000}"/>
    <cellStyle name="20% - 강조색3 5 5" xfId="149" xr:uid="{00000000-0005-0000-0000-00008D000000}"/>
    <cellStyle name="20% - 강조색3 5 5 2" xfId="150" xr:uid="{00000000-0005-0000-0000-00008E000000}"/>
    <cellStyle name="20% - 강조색3 5 6" xfId="151" xr:uid="{00000000-0005-0000-0000-00008F000000}"/>
    <cellStyle name="20% - 강조색3 5 6 2" xfId="152" xr:uid="{00000000-0005-0000-0000-000090000000}"/>
    <cellStyle name="20% - 강조색3 5 7" xfId="153" xr:uid="{00000000-0005-0000-0000-000091000000}"/>
    <cellStyle name="20% - 강조색4 2" xfId="154" xr:uid="{00000000-0005-0000-0000-000092000000}"/>
    <cellStyle name="20% - 강조색4 2 2" xfId="155" xr:uid="{00000000-0005-0000-0000-000093000000}"/>
    <cellStyle name="20% - 강조색4 2 2 2" xfId="156" xr:uid="{00000000-0005-0000-0000-000094000000}"/>
    <cellStyle name="20% - 강조색4 2 3" xfId="157" xr:uid="{00000000-0005-0000-0000-000095000000}"/>
    <cellStyle name="20% - 강조색4 2 3 2" xfId="158" xr:uid="{00000000-0005-0000-0000-000096000000}"/>
    <cellStyle name="20% - 강조색4 2 4" xfId="159" xr:uid="{00000000-0005-0000-0000-000097000000}"/>
    <cellStyle name="20% - 강조색4 2 4 2" xfId="160" xr:uid="{00000000-0005-0000-0000-000098000000}"/>
    <cellStyle name="20% - 강조색4 2 5" xfId="161" xr:uid="{00000000-0005-0000-0000-000099000000}"/>
    <cellStyle name="20% - 강조색4 2 5 2" xfId="162" xr:uid="{00000000-0005-0000-0000-00009A000000}"/>
    <cellStyle name="20% - 강조색4 2 6" xfId="163" xr:uid="{00000000-0005-0000-0000-00009B000000}"/>
    <cellStyle name="20% - 강조색4 2 6 2" xfId="164" xr:uid="{00000000-0005-0000-0000-00009C000000}"/>
    <cellStyle name="20% - 강조색4 2 7" xfId="165" xr:uid="{00000000-0005-0000-0000-00009D000000}"/>
    <cellStyle name="20% - 강조색4 3" xfId="166" xr:uid="{00000000-0005-0000-0000-00009E000000}"/>
    <cellStyle name="20% - 강조색4 3 2" xfId="167" xr:uid="{00000000-0005-0000-0000-00009F000000}"/>
    <cellStyle name="20% - 강조색4 3 2 2" xfId="168" xr:uid="{00000000-0005-0000-0000-0000A0000000}"/>
    <cellStyle name="20% - 강조색4 3 3" xfId="169" xr:uid="{00000000-0005-0000-0000-0000A1000000}"/>
    <cellStyle name="20% - 강조색4 3 3 2" xfId="170" xr:uid="{00000000-0005-0000-0000-0000A2000000}"/>
    <cellStyle name="20% - 강조색4 3 4" xfId="171" xr:uid="{00000000-0005-0000-0000-0000A3000000}"/>
    <cellStyle name="20% - 강조색4 3 4 2" xfId="172" xr:uid="{00000000-0005-0000-0000-0000A4000000}"/>
    <cellStyle name="20% - 강조색4 3 5" xfId="173" xr:uid="{00000000-0005-0000-0000-0000A5000000}"/>
    <cellStyle name="20% - 강조색4 3 5 2" xfId="174" xr:uid="{00000000-0005-0000-0000-0000A6000000}"/>
    <cellStyle name="20% - 강조색4 3 6" xfId="175" xr:uid="{00000000-0005-0000-0000-0000A7000000}"/>
    <cellStyle name="20% - 강조색4 3 6 2" xfId="176" xr:uid="{00000000-0005-0000-0000-0000A8000000}"/>
    <cellStyle name="20% - 강조색4 3 7" xfId="177" xr:uid="{00000000-0005-0000-0000-0000A9000000}"/>
    <cellStyle name="20% - 강조색4 4" xfId="178" xr:uid="{00000000-0005-0000-0000-0000AA000000}"/>
    <cellStyle name="20% - 강조색4 4 2" xfId="179" xr:uid="{00000000-0005-0000-0000-0000AB000000}"/>
    <cellStyle name="20% - 강조색4 4 2 2" xfId="180" xr:uid="{00000000-0005-0000-0000-0000AC000000}"/>
    <cellStyle name="20% - 강조색4 4 3" xfId="181" xr:uid="{00000000-0005-0000-0000-0000AD000000}"/>
    <cellStyle name="20% - 강조색4 4 3 2" xfId="182" xr:uid="{00000000-0005-0000-0000-0000AE000000}"/>
    <cellStyle name="20% - 강조색4 4 4" xfId="183" xr:uid="{00000000-0005-0000-0000-0000AF000000}"/>
    <cellStyle name="20% - 강조색4 4 4 2" xfId="184" xr:uid="{00000000-0005-0000-0000-0000B0000000}"/>
    <cellStyle name="20% - 강조색4 4 5" xfId="185" xr:uid="{00000000-0005-0000-0000-0000B1000000}"/>
    <cellStyle name="20% - 강조색4 4 5 2" xfId="186" xr:uid="{00000000-0005-0000-0000-0000B2000000}"/>
    <cellStyle name="20% - 강조색4 4 6" xfId="187" xr:uid="{00000000-0005-0000-0000-0000B3000000}"/>
    <cellStyle name="20% - 강조색4 4 6 2" xfId="188" xr:uid="{00000000-0005-0000-0000-0000B4000000}"/>
    <cellStyle name="20% - 강조색4 4 7" xfId="189" xr:uid="{00000000-0005-0000-0000-0000B5000000}"/>
    <cellStyle name="20% - 강조색4 5" xfId="190" xr:uid="{00000000-0005-0000-0000-0000B6000000}"/>
    <cellStyle name="20% - 강조색4 5 2" xfId="191" xr:uid="{00000000-0005-0000-0000-0000B7000000}"/>
    <cellStyle name="20% - 강조색4 5 2 2" xfId="192" xr:uid="{00000000-0005-0000-0000-0000B8000000}"/>
    <cellStyle name="20% - 강조색4 5 3" xfId="193" xr:uid="{00000000-0005-0000-0000-0000B9000000}"/>
    <cellStyle name="20% - 강조색4 5 3 2" xfId="194" xr:uid="{00000000-0005-0000-0000-0000BA000000}"/>
    <cellStyle name="20% - 강조색4 5 4" xfId="195" xr:uid="{00000000-0005-0000-0000-0000BB000000}"/>
    <cellStyle name="20% - 강조색4 5 4 2" xfId="196" xr:uid="{00000000-0005-0000-0000-0000BC000000}"/>
    <cellStyle name="20% - 강조색4 5 5" xfId="197" xr:uid="{00000000-0005-0000-0000-0000BD000000}"/>
    <cellStyle name="20% - 강조색4 5 5 2" xfId="198" xr:uid="{00000000-0005-0000-0000-0000BE000000}"/>
    <cellStyle name="20% - 강조색4 5 6" xfId="199" xr:uid="{00000000-0005-0000-0000-0000BF000000}"/>
    <cellStyle name="20% - 강조색4 5 6 2" xfId="200" xr:uid="{00000000-0005-0000-0000-0000C0000000}"/>
    <cellStyle name="20% - 강조색4 5 7" xfId="201" xr:uid="{00000000-0005-0000-0000-0000C1000000}"/>
    <cellStyle name="20% - 강조색5 2" xfId="202" xr:uid="{00000000-0005-0000-0000-0000C2000000}"/>
    <cellStyle name="20% - 강조색5 2 2" xfId="203" xr:uid="{00000000-0005-0000-0000-0000C3000000}"/>
    <cellStyle name="20% - 강조색5 2 2 2" xfId="204" xr:uid="{00000000-0005-0000-0000-0000C4000000}"/>
    <cellStyle name="20% - 강조색5 2 3" xfId="205" xr:uid="{00000000-0005-0000-0000-0000C5000000}"/>
    <cellStyle name="20% - 강조색5 2 3 2" xfId="206" xr:uid="{00000000-0005-0000-0000-0000C6000000}"/>
    <cellStyle name="20% - 강조색5 2 4" xfId="207" xr:uid="{00000000-0005-0000-0000-0000C7000000}"/>
    <cellStyle name="20% - 강조색5 2 4 2" xfId="208" xr:uid="{00000000-0005-0000-0000-0000C8000000}"/>
    <cellStyle name="20% - 강조색5 2 5" xfId="209" xr:uid="{00000000-0005-0000-0000-0000C9000000}"/>
    <cellStyle name="20% - 강조색5 2 5 2" xfId="210" xr:uid="{00000000-0005-0000-0000-0000CA000000}"/>
    <cellStyle name="20% - 강조색5 2 6" xfId="211" xr:uid="{00000000-0005-0000-0000-0000CB000000}"/>
    <cellStyle name="20% - 강조색5 2 6 2" xfId="212" xr:uid="{00000000-0005-0000-0000-0000CC000000}"/>
    <cellStyle name="20% - 강조색5 2 7" xfId="213" xr:uid="{00000000-0005-0000-0000-0000CD000000}"/>
    <cellStyle name="20% - 강조색5 3" xfId="214" xr:uid="{00000000-0005-0000-0000-0000CE000000}"/>
    <cellStyle name="20% - 강조색5 3 2" xfId="215" xr:uid="{00000000-0005-0000-0000-0000CF000000}"/>
    <cellStyle name="20% - 강조색5 3 2 2" xfId="216" xr:uid="{00000000-0005-0000-0000-0000D0000000}"/>
    <cellStyle name="20% - 강조색5 3 3" xfId="217" xr:uid="{00000000-0005-0000-0000-0000D1000000}"/>
    <cellStyle name="20% - 강조색5 3 3 2" xfId="218" xr:uid="{00000000-0005-0000-0000-0000D2000000}"/>
    <cellStyle name="20% - 강조색5 3 4" xfId="219" xr:uid="{00000000-0005-0000-0000-0000D3000000}"/>
    <cellStyle name="20% - 강조색5 3 4 2" xfId="220" xr:uid="{00000000-0005-0000-0000-0000D4000000}"/>
    <cellStyle name="20% - 강조색5 3 5" xfId="221" xr:uid="{00000000-0005-0000-0000-0000D5000000}"/>
    <cellStyle name="20% - 강조색5 3 5 2" xfId="222" xr:uid="{00000000-0005-0000-0000-0000D6000000}"/>
    <cellStyle name="20% - 강조색5 3 6" xfId="223" xr:uid="{00000000-0005-0000-0000-0000D7000000}"/>
    <cellStyle name="20% - 강조색5 3 6 2" xfId="224" xr:uid="{00000000-0005-0000-0000-0000D8000000}"/>
    <cellStyle name="20% - 강조색5 3 7" xfId="225" xr:uid="{00000000-0005-0000-0000-0000D9000000}"/>
    <cellStyle name="20% - 강조색5 4" xfId="226" xr:uid="{00000000-0005-0000-0000-0000DA000000}"/>
    <cellStyle name="20% - 강조색5 4 2" xfId="227" xr:uid="{00000000-0005-0000-0000-0000DB000000}"/>
    <cellStyle name="20% - 강조색5 4 2 2" xfId="228" xr:uid="{00000000-0005-0000-0000-0000DC000000}"/>
    <cellStyle name="20% - 강조색5 4 3" xfId="229" xr:uid="{00000000-0005-0000-0000-0000DD000000}"/>
    <cellStyle name="20% - 강조색5 4 3 2" xfId="230" xr:uid="{00000000-0005-0000-0000-0000DE000000}"/>
    <cellStyle name="20% - 강조색5 4 4" xfId="231" xr:uid="{00000000-0005-0000-0000-0000DF000000}"/>
    <cellStyle name="20% - 강조색5 4 4 2" xfId="232" xr:uid="{00000000-0005-0000-0000-0000E0000000}"/>
    <cellStyle name="20% - 강조색5 4 5" xfId="233" xr:uid="{00000000-0005-0000-0000-0000E1000000}"/>
    <cellStyle name="20% - 강조색5 4 5 2" xfId="234" xr:uid="{00000000-0005-0000-0000-0000E2000000}"/>
    <cellStyle name="20% - 강조색5 4 6" xfId="235" xr:uid="{00000000-0005-0000-0000-0000E3000000}"/>
    <cellStyle name="20% - 강조색5 4 6 2" xfId="236" xr:uid="{00000000-0005-0000-0000-0000E4000000}"/>
    <cellStyle name="20% - 강조색5 4 7" xfId="237" xr:uid="{00000000-0005-0000-0000-0000E5000000}"/>
    <cellStyle name="20% - 강조색5 5" xfId="238" xr:uid="{00000000-0005-0000-0000-0000E6000000}"/>
    <cellStyle name="20% - 강조색5 5 2" xfId="239" xr:uid="{00000000-0005-0000-0000-0000E7000000}"/>
    <cellStyle name="20% - 강조색5 5 2 2" xfId="240" xr:uid="{00000000-0005-0000-0000-0000E8000000}"/>
    <cellStyle name="20% - 강조색5 5 3" xfId="241" xr:uid="{00000000-0005-0000-0000-0000E9000000}"/>
    <cellStyle name="20% - 강조색5 5 3 2" xfId="242" xr:uid="{00000000-0005-0000-0000-0000EA000000}"/>
    <cellStyle name="20% - 강조색5 5 4" xfId="243" xr:uid="{00000000-0005-0000-0000-0000EB000000}"/>
    <cellStyle name="20% - 강조색5 5 4 2" xfId="244" xr:uid="{00000000-0005-0000-0000-0000EC000000}"/>
    <cellStyle name="20% - 강조색5 5 5" xfId="245" xr:uid="{00000000-0005-0000-0000-0000ED000000}"/>
    <cellStyle name="20% - 강조색5 5 5 2" xfId="246" xr:uid="{00000000-0005-0000-0000-0000EE000000}"/>
    <cellStyle name="20% - 강조색5 5 6" xfId="247" xr:uid="{00000000-0005-0000-0000-0000EF000000}"/>
    <cellStyle name="20% - 강조색5 5 6 2" xfId="248" xr:uid="{00000000-0005-0000-0000-0000F0000000}"/>
    <cellStyle name="20% - 강조색5 5 7" xfId="249" xr:uid="{00000000-0005-0000-0000-0000F1000000}"/>
    <cellStyle name="20% - 강조색6 2" xfId="250" xr:uid="{00000000-0005-0000-0000-0000F2000000}"/>
    <cellStyle name="20% - 강조색6 2 2" xfId="251" xr:uid="{00000000-0005-0000-0000-0000F3000000}"/>
    <cellStyle name="20% - 강조색6 2 2 2" xfId="252" xr:uid="{00000000-0005-0000-0000-0000F4000000}"/>
    <cellStyle name="20% - 강조색6 2 3" xfId="253" xr:uid="{00000000-0005-0000-0000-0000F5000000}"/>
    <cellStyle name="20% - 강조색6 2 3 2" xfId="254" xr:uid="{00000000-0005-0000-0000-0000F6000000}"/>
    <cellStyle name="20% - 강조색6 2 4" xfId="255" xr:uid="{00000000-0005-0000-0000-0000F7000000}"/>
    <cellStyle name="20% - 강조색6 2 4 2" xfId="256" xr:uid="{00000000-0005-0000-0000-0000F8000000}"/>
    <cellStyle name="20% - 강조색6 2 5" xfId="257" xr:uid="{00000000-0005-0000-0000-0000F9000000}"/>
    <cellStyle name="20% - 강조색6 2 5 2" xfId="258" xr:uid="{00000000-0005-0000-0000-0000FA000000}"/>
    <cellStyle name="20% - 강조색6 2 6" xfId="259" xr:uid="{00000000-0005-0000-0000-0000FB000000}"/>
    <cellStyle name="20% - 강조색6 2 6 2" xfId="260" xr:uid="{00000000-0005-0000-0000-0000FC000000}"/>
    <cellStyle name="20% - 강조색6 2 7" xfId="261" xr:uid="{00000000-0005-0000-0000-0000FD000000}"/>
    <cellStyle name="20% - 강조색6 3" xfId="262" xr:uid="{00000000-0005-0000-0000-0000FE000000}"/>
    <cellStyle name="20% - 강조색6 3 2" xfId="263" xr:uid="{00000000-0005-0000-0000-0000FF000000}"/>
    <cellStyle name="20% - 강조색6 3 2 2" xfId="264" xr:uid="{00000000-0005-0000-0000-000000010000}"/>
    <cellStyle name="20% - 강조색6 3 3" xfId="265" xr:uid="{00000000-0005-0000-0000-000001010000}"/>
    <cellStyle name="20% - 강조색6 3 3 2" xfId="266" xr:uid="{00000000-0005-0000-0000-000002010000}"/>
    <cellStyle name="20% - 강조색6 3 4" xfId="267" xr:uid="{00000000-0005-0000-0000-000003010000}"/>
    <cellStyle name="20% - 강조색6 3 4 2" xfId="268" xr:uid="{00000000-0005-0000-0000-000004010000}"/>
    <cellStyle name="20% - 강조색6 3 5" xfId="269" xr:uid="{00000000-0005-0000-0000-000005010000}"/>
    <cellStyle name="20% - 강조색6 3 5 2" xfId="270" xr:uid="{00000000-0005-0000-0000-000006010000}"/>
    <cellStyle name="20% - 강조색6 3 6" xfId="271" xr:uid="{00000000-0005-0000-0000-000007010000}"/>
    <cellStyle name="20% - 강조색6 3 6 2" xfId="272" xr:uid="{00000000-0005-0000-0000-000008010000}"/>
    <cellStyle name="20% - 강조색6 3 7" xfId="273" xr:uid="{00000000-0005-0000-0000-000009010000}"/>
    <cellStyle name="20% - 강조색6 4" xfId="274" xr:uid="{00000000-0005-0000-0000-00000A010000}"/>
    <cellStyle name="20% - 강조색6 4 2" xfId="275" xr:uid="{00000000-0005-0000-0000-00000B010000}"/>
    <cellStyle name="20% - 강조색6 4 2 2" xfId="276" xr:uid="{00000000-0005-0000-0000-00000C010000}"/>
    <cellStyle name="20% - 강조색6 4 3" xfId="277" xr:uid="{00000000-0005-0000-0000-00000D010000}"/>
    <cellStyle name="20% - 강조색6 4 3 2" xfId="278" xr:uid="{00000000-0005-0000-0000-00000E010000}"/>
    <cellStyle name="20% - 강조색6 4 4" xfId="279" xr:uid="{00000000-0005-0000-0000-00000F010000}"/>
    <cellStyle name="20% - 강조색6 4 4 2" xfId="280" xr:uid="{00000000-0005-0000-0000-000010010000}"/>
    <cellStyle name="20% - 강조색6 4 5" xfId="281" xr:uid="{00000000-0005-0000-0000-000011010000}"/>
    <cellStyle name="20% - 강조색6 4 5 2" xfId="282" xr:uid="{00000000-0005-0000-0000-000012010000}"/>
    <cellStyle name="20% - 강조색6 4 6" xfId="283" xr:uid="{00000000-0005-0000-0000-000013010000}"/>
    <cellStyle name="20% - 강조색6 4 6 2" xfId="284" xr:uid="{00000000-0005-0000-0000-000014010000}"/>
    <cellStyle name="20% - 강조색6 4 7" xfId="285" xr:uid="{00000000-0005-0000-0000-000015010000}"/>
    <cellStyle name="20% - 강조색6 5" xfId="286" xr:uid="{00000000-0005-0000-0000-000016010000}"/>
    <cellStyle name="20% - 강조색6 5 2" xfId="287" xr:uid="{00000000-0005-0000-0000-000017010000}"/>
    <cellStyle name="20% - 강조색6 5 2 2" xfId="288" xr:uid="{00000000-0005-0000-0000-000018010000}"/>
    <cellStyle name="20% - 강조색6 5 3" xfId="289" xr:uid="{00000000-0005-0000-0000-000019010000}"/>
    <cellStyle name="20% - 강조색6 5 3 2" xfId="290" xr:uid="{00000000-0005-0000-0000-00001A010000}"/>
    <cellStyle name="20% - 강조색6 5 4" xfId="291" xr:uid="{00000000-0005-0000-0000-00001B010000}"/>
    <cellStyle name="20% - 강조색6 5 4 2" xfId="292" xr:uid="{00000000-0005-0000-0000-00001C010000}"/>
    <cellStyle name="20% - 강조색6 5 5" xfId="293" xr:uid="{00000000-0005-0000-0000-00001D010000}"/>
    <cellStyle name="20% - 강조색6 5 5 2" xfId="294" xr:uid="{00000000-0005-0000-0000-00001E010000}"/>
    <cellStyle name="20% - 강조색6 5 6" xfId="295" xr:uid="{00000000-0005-0000-0000-00001F010000}"/>
    <cellStyle name="20% - 강조색6 5 6 2" xfId="296" xr:uid="{00000000-0005-0000-0000-000020010000}"/>
    <cellStyle name="20% - 강조색6 5 7" xfId="297" xr:uid="{00000000-0005-0000-0000-000021010000}"/>
    <cellStyle name="40% - 강조색1 2" xfId="298" xr:uid="{00000000-0005-0000-0000-000022010000}"/>
    <cellStyle name="40% - 강조색1 2 2" xfId="299" xr:uid="{00000000-0005-0000-0000-000023010000}"/>
    <cellStyle name="40% - 강조색1 2 2 2" xfId="300" xr:uid="{00000000-0005-0000-0000-000024010000}"/>
    <cellStyle name="40% - 강조색1 2 3" xfId="301" xr:uid="{00000000-0005-0000-0000-000025010000}"/>
    <cellStyle name="40% - 강조색1 2 3 2" xfId="302" xr:uid="{00000000-0005-0000-0000-000026010000}"/>
    <cellStyle name="40% - 강조색1 2 4" xfId="303" xr:uid="{00000000-0005-0000-0000-000027010000}"/>
    <cellStyle name="40% - 강조색1 2 4 2" xfId="304" xr:uid="{00000000-0005-0000-0000-000028010000}"/>
    <cellStyle name="40% - 강조색1 2 5" xfId="305" xr:uid="{00000000-0005-0000-0000-000029010000}"/>
    <cellStyle name="40% - 강조색1 2 5 2" xfId="306" xr:uid="{00000000-0005-0000-0000-00002A010000}"/>
    <cellStyle name="40% - 강조색1 2 6" xfId="307" xr:uid="{00000000-0005-0000-0000-00002B010000}"/>
    <cellStyle name="40% - 강조색1 2 6 2" xfId="308" xr:uid="{00000000-0005-0000-0000-00002C010000}"/>
    <cellStyle name="40% - 강조색1 2 7" xfId="309" xr:uid="{00000000-0005-0000-0000-00002D010000}"/>
    <cellStyle name="40% - 강조색1 3" xfId="310" xr:uid="{00000000-0005-0000-0000-00002E010000}"/>
    <cellStyle name="40% - 강조색1 3 2" xfId="311" xr:uid="{00000000-0005-0000-0000-00002F010000}"/>
    <cellStyle name="40% - 강조색1 3 2 2" xfId="312" xr:uid="{00000000-0005-0000-0000-000030010000}"/>
    <cellStyle name="40% - 강조색1 3 3" xfId="313" xr:uid="{00000000-0005-0000-0000-000031010000}"/>
    <cellStyle name="40% - 강조색1 3 3 2" xfId="314" xr:uid="{00000000-0005-0000-0000-000032010000}"/>
    <cellStyle name="40% - 강조색1 3 4" xfId="315" xr:uid="{00000000-0005-0000-0000-000033010000}"/>
    <cellStyle name="40% - 강조색1 3 4 2" xfId="316" xr:uid="{00000000-0005-0000-0000-000034010000}"/>
    <cellStyle name="40% - 강조색1 3 5" xfId="317" xr:uid="{00000000-0005-0000-0000-000035010000}"/>
    <cellStyle name="40% - 강조색1 3 5 2" xfId="318" xr:uid="{00000000-0005-0000-0000-000036010000}"/>
    <cellStyle name="40% - 강조색1 3 6" xfId="319" xr:uid="{00000000-0005-0000-0000-000037010000}"/>
    <cellStyle name="40% - 강조색1 3 6 2" xfId="320" xr:uid="{00000000-0005-0000-0000-000038010000}"/>
    <cellStyle name="40% - 강조색1 3 7" xfId="321" xr:uid="{00000000-0005-0000-0000-000039010000}"/>
    <cellStyle name="40% - 강조색1 4" xfId="322" xr:uid="{00000000-0005-0000-0000-00003A010000}"/>
    <cellStyle name="40% - 강조색1 4 2" xfId="323" xr:uid="{00000000-0005-0000-0000-00003B010000}"/>
    <cellStyle name="40% - 강조색1 4 2 2" xfId="324" xr:uid="{00000000-0005-0000-0000-00003C010000}"/>
    <cellStyle name="40% - 강조색1 4 3" xfId="325" xr:uid="{00000000-0005-0000-0000-00003D010000}"/>
    <cellStyle name="40% - 강조색1 4 3 2" xfId="326" xr:uid="{00000000-0005-0000-0000-00003E010000}"/>
    <cellStyle name="40% - 강조색1 4 4" xfId="327" xr:uid="{00000000-0005-0000-0000-00003F010000}"/>
    <cellStyle name="40% - 강조색1 4 4 2" xfId="328" xr:uid="{00000000-0005-0000-0000-000040010000}"/>
    <cellStyle name="40% - 강조색1 4 5" xfId="329" xr:uid="{00000000-0005-0000-0000-000041010000}"/>
    <cellStyle name="40% - 강조색1 4 5 2" xfId="330" xr:uid="{00000000-0005-0000-0000-000042010000}"/>
    <cellStyle name="40% - 강조색1 4 6" xfId="331" xr:uid="{00000000-0005-0000-0000-000043010000}"/>
    <cellStyle name="40% - 강조색1 4 6 2" xfId="332" xr:uid="{00000000-0005-0000-0000-000044010000}"/>
    <cellStyle name="40% - 강조색1 4 7" xfId="333" xr:uid="{00000000-0005-0000-0000-000045010000}"/>
    <cellStyle name="40% - 강조색1 5" xfId="334" xr:uid="{00000000-0005-0000-0000-000046010000}"/>
    <cellStyle name="40% - 강조색1 5 2" xfId="335" xr:uid="{00000000-0005-0000-0000-000047010000}"/>
    <cellStyle name="40% - 강조색1 5 2 2" xfId="336" xr:uid="{00000000-0005-0000-0000-000048010000}"/>
    <cellStyle name="40% - 강조색1 5 3" xfId="337" xr:uid="{00000000-0005-0000-0000-000049010000}"/>
    <cellStyle name="40% - 강조색1 5 3 2" xfId="338" xr:uid="{00000000-0005-0000-0000-00004A010000}"/>
    <cellStyle name="40% - 강조색1 5 4" xfId="339" xr:uid="{00000000-0005-0000-0000-00004B010000}"/>
    <cellStyle name="40% - 강조색1 5 4 2" xfId="340" xr:uid="{00000000-0005-0000-0000-00004C010000}"/>
    <cellStyle name="40% - 강조색1 5 5" xfId="341" xr:uid="{00000000-0005-0000-0000-00004D010000}"/>
    <cellStyle name="40% - 강조색1 5 5 2" xfId="342" xr:uid="{00000000-0005-0000-0000-00004E010000}"/>
    <cellStyle name="40% - 강조색1 5 6" xfId="343" xr:uid="{00000000-0005-0000-0000-00004F010000}"/>
    <cellStyle name="40% - 강조색1 5 6 2" xfId="344" xr:uid="{00000000-0005-0000-0000-000050010000}"/>
    <cellStyle name="40% - 강조색1 5 7" xfId="345" xr:uid="{00000000-0005-0000-0000-000051010000}"/>
    <cellStyle name="40% - 강조색2 2" xfId="346" xr:uid="{00000000-0005-0000-0000-000052010000}"/>
    <cellStyle name="40% - 강조색2 2 2" xfId="347" xr:uid="{00000000-0005-0000-0000-000053010000}"/>
    <cellStyle name="40% - 강조색2 2 2 2" xfId="348" xr:uid="{00000000-0005-0000-0000-000054010000}"/>
    <cellStyle name="40% - 강조색2 2 3" xfId="349" xr:uid="{00000000-0005-0000-0000-000055010000}"/>
    <cellStyle name="40% - 강조색2 2 3 2" xfId="350" xr:uid="{00000000-0005-0000-0000-000056010000}"/>
    <cellStyle name="40% - 강조색2 2 4" xfId="351" xr:uid="{00000000-0005-0000-0000-000057010000}"/>
    <cellStyle name="40% - 강조색2 2 4 2" xfId="352" xr:uid="{00000000-0005-0000-0000-000058010000}"/>
    <cellStyle name="40% - 강조색2 2 5" xfId="353" xr:uid="{00000000-0005-0000-0000-000059010000}"/>
    <cellStyle name="40% - 강조색2 2 5 2" xfId="354" xr:uid="{00000000-0005-0000-0000-00005A010000}"/>
    <cellStyle name="40% - 강조색2 2 6" xfId="355" xr:uid="{00000000-0005-0000-0000-00005B010000}"/>
    <cellStyle name="40% - 강조색2 2 6 2" xfId="356" xr:uid="{00000000-0005-0000-0000-00005C010000}"/>
    <cellStyle name="40% - 강조색2 2 7" xfId="357" xr:uid="{00000000-0005-0000-0000-00005D010000}"/>
    <cellStyle name="40% - 강조색2 3" xfId="358" xr:uid="{00000000-0005-0000-0000-00005E010000}"/>
    <cellStyle name="40% - 강조색2 3 2" xfId="359" xr:uid="{00000000-0005-0000-0000-00005F010000}"/>
    <cellStyle name="40% - 강조색2 3 2 2" xfId="360" xr:uid="{00000000-0005-0000-0000-000060010000}"/>
    <cellStyle name="40% - 강조색2 3 3" xfId="361" xr:uid="{00000000-0005-0000-0000-000061010000}"/>
    <cellStyle name="40% - 강조색2 3 3 2" xfId="362" xr:uid="{00000000-0005-0000-0000-000062010000}"/>
    <cellStyle name="40% - 강조색2 3 4" xfId="363" xr:uid="{00000000-0005-0000-0000-000063010000}"/>
    <cellStyle name="40% - 강조색2 3 4 2" xfId="364" xr:uid="{00000000-0005-0000-0000-000064010000}"/>
    <cellStyle name="40% - 강조색2 3 5" xfId="365" xr:uid="{00000000-0005-0000-0000-000065010000}"/>
    <cellStyle name="40% - 강조색2 3 5 2" xfId="366" xr:uid="{00000000-0005-0000-0000-000066010000}"/>
    <cellStyle name="40% - 강조색2 3 6" xfId="367" xr:uid="{00000000-0005-0000-0000-000067010000}"/>
    <cellStyle name="40% - 강조색2 3 6 2" xfId="368" xr:uid="{00000000-0005-0000-0000-000068010000}"/>
    <cellStyle name="40% - 강조색2 3 7" xfId="369" xr:uid="{00000000-0005-0000-0000-000069010000}"/>
    <cellStyle name="40% - 강조색2 4" xfId="370" xr:uid="{00000000-0005-0000-0000-00006A010000}"/>
    <cellStyle name="40% - 강조색2 4 2" xfId="371" xr:uid="{00000000-0005-0000-0000-00006B010000}"/>
    <cellStyle name="40% - 강조색2 4 2 2" xfId="372" xr:uid="{00000000-0005-0000-0000-00006C010000}"/>
    <cellStyle name="40% - 강조색2 4 3" xfId="373" xr:uid="{00000000-0005-0000-0000-00006D010000}"/>
    <cellStyle name="40% - 강조색2 4 3 2" xfId="374" xr:uid="{00000000-0005-0000-0000-00006E010000}"/>
    <cellStyle name="40% - 강조색2 4 4" xfId="375" xr:uid="{00000000-0005-0000-0000-00006F010000}"/>
    <cellStyle name="40% - 강조색2 4 4 2" xfId="376" xr:uid="{00000000-0005-0000-0000-000070010000}"/>
    <cellStyle name="40% - 강조색2 4 5" xfId="377" xr:uid="{00000000-0005-0000-0000-000071010000}"/>
    <cellStyle name="40% - 강조색2 4 5 2" xfId="378" xr:uid="{00000000-0005-0000-0000-000072010000}"/>
    <cellStyle name="40% - 강조색2 4 6" xfId="379" xr:uid="{00000000-0005-0000-0000-000073010000}"/>
    <cellStyle name="40% - 강조색2 4 6 2" xfId="380" xr:uid="{00000000-0005-0000-0000-000074010000}"/>
    <cellStyle name="40% - 강조색2 4 7" xfId="381" xr:uid="{00000000-0005-0000-0000-000075010000}"/>
    <cellStyle name="40% - 강조색2 5" xfId="382" xr:uid="{00000000-0005-0000-0000-000076010000}"/>
    <cellStyle name="40% - 강조색2 5 2" xfId="383" xr:uid="{00000000-0005-0000-0000-000077010000}"/>
    <cellStyle name="40% - 강조색2 5 2 2" xfId="384" xr:uid="{00000000-0005-0000-0000-000078010000}"/>
    <cellStyle name="40% - 강조색2 5 3" xfId="385" xr:uid="{00000000-0005-0000-0000-000079010000}"/>
    <cellStyle name="40% - 강조색2 5 3 2" xfId="386" xr:uid="{00000000-0005-0000-0000-00007A010000}"/>
    <cellStyle name="40% - 강조색2 5 4" xfId="387" xr:uid="{00000000-0005-0000-0000-00007B010000}"/>
    <cellStyle name="40% - 강조색2 5 4 2" xfId="388" xr:uid="{00000000-0005-0000-0000-00007C010000}"/>
    <cellStyle name="40% - 강조색2 5 5" xfId="389" xr:uid="{00000000-0005-0000-0000-00007D010000}"/>
    <cellStyle name="40% - 강조색2 5 5 2" xfId="390" xr:uid="{00000000-0005-0000-0000-00007E010000}"/>
    <cellStyle name="40% - 강조색2 5 6" xfId="391" xr:uid="{00000000-0005-0000-0000-00007F010000}"/>
    <cellStyle name="40% - 강조색2 5 6 2" xfId="392" xr:uid="{00000000-0005-0000-0000-000080010000}"/>
    <cellStyle name="40% - 강조색2 5 7" xfId="393" xr:uid="{00000000-0005-0000-0000-000081010000}"/>
    <cellStyle name="40% - 강조색3 2" xfId="394" xr:uid="{00000000-0005-0000-0000-000082010000}"/>
    <cellStyle name="40% - 강조색3 2 2" xfId="395" xr:uid="{00000000-0005-0000-0000-000083010000}"/>
    <cellStyle name="40% - 강조색3 2 2 2" xfId="396" xr:uid="{00000000-0005-0000-0000-000084010000}"/>
    <cellStyle name="40% - 강조색3 2 3" xfId="397" xr:uid="{00000000-0005-0000-0000-000085010000}"/>
    <cellStyle name="40% - 강조색3 2 3 2" xfId="398" xr:uid="{00000000-0005-0000-0000-000086010000}"/>
    <cellStyle name="40% - 강조색3 2 4" xfId="399" xr:uid="{00000000-0005-0000-0000-000087010000}"/>
    <cellStyle name="40% - 강조색3 2 4 2" xfId="400" xr:uid="{00000000-0005-0000-0000-000088010000}"/>
    <cellStyle name="40% - 강조색3 2 5" xfId="401" xr:uid="{00000000-0005-0000-0000-000089010000}"/>
    <cellStyle name="40% - 강조색3 2 5 2" xfId="402" xr:uid="{00000000-0005-0000-0000-00008A010000}"/>
    <cellStyle name="40% - 강조색3 2 6" xfId="403" xr:uid="{00000000-0005-0000-0000-00008B010000}"/>
    <cellStyle name="40% - 강조색3 2 6 2" xfId="404" xr:uid="{00000000-0005-0000-0000-00008C010000}"/>
    <cellStyle name="40% - 강조색3 2 7" xfId="405" xr:uid="{00000000-0005-0000-0000-00008D010000}"/>
    <cellStyle name="40% - 강조색3 3" xfId="406" xr:uid="{00000000-0005-0000-0000-00008E010000}"/>
    <cellStyle name="40% - 강조색3 3 2" xfId="407" xr:uid="{00000000-0005-0000-0000-00008F010000}"/>
    <cellStyle name="40% - 강조색3 3 2 2" xfId="408" xr:uid="{00000000-0005-0000-0000-000090010000}"/>
    <cellStyle name="40% - 강조색3 3 3" xfId="409" xr:uid="{00000000-0005-0000-0000-000091010000}"/>
    <cellStyle name="40% - 강조색3 3 3 2" xfId="410" xr:uid="{00000000-0005-0000-0000-000092010000}"/>
    <cellStyle name="40% - 강조색3 3 4" xfId="411" xr:uid="{00000000-0005-0000-0000-000093010000}"/>
    <cellStyle name="40% - 강조색3 3 4 2" xfId="412" xr:uid="{00000000-0005-0000-0000-000094010000}"/>
    <cellStyle name="40% - 강조색3 3 5" xfId="413" xr:uid="{00000000-0005-0000-0000-000095010000}"/>
    <cellStyle name="40% - 강조색3 3 5 2" xfId="414" xr:uid="{00000000-0005-0000-0000-000096010000}"/>
    <cellStyle name="40% - 강조색3 3 6" xfId="415" xr:uid="{00000000-0005-0000-0000-000097010000}"/>
    <cellStyle name="40% - 강조색3 3 6 2" xfId="416" xr:uid="{00000000-0005-0000-0000-000098010000}"/>
    <cellStyle name="40% - 강조색3 3 7" xfId="417" xr:uid="{00000000-0005-0000-0000-000099010000}"/>
    <cellStyle name="40% - 강조색3 4" xfId="418" xr:uid="{00000000-0005-0000-0000-00009A010000}"/>
    <cellStyle name="40% - 강조색3 4 2" xfId="419" xr:uid="{00000000-0005-0000-0000-00009B010000}"/>
    <cellStyle name="40% - 강조색3 4 2 2" xfId="420" xr:uid="{00000000-0005-0000-0000-00009C010000}"/>
    <cellStyle name="40% - 강조색3 4 3" xfId="421" xr:uid="{00000000-0005-0000-0000-00009D010000}"/>
    <cellStyle name="40% - 강조색3 4 3 2" xfId="422" xr:uid="{00000000-0005-0000-0000-00009E010000}"/>
    <cellStyle name="40% - 강조색3 4 4" xfId="423" xr:uid="{00000000-0005-0000-0000-00009F010000}"/>
    <cellStyle name="40% - 강조색3 4 4 2" xfId="424" xr:uid="{00000000-0005-0000-0000-0000A0010000}"/>
    <cellStyle name="40% - 강조색3 4 5" xfId="425" xr:uid="{00000000-0005-0000-0000-0000A1010000}"/>
    <cellStyle name="40% - 강조색3 4 5 2" xfId="426" xr:uid="{00000000-0005-0000-0000-0000A2010000}"/>
    <cellStyle name="40% - 강조색3 4 6" xfId="427" xr:uid="{00000000-0005-0000-0000-0000A3010000}"/>
    <cellStyle name="40% - 강조색3 4 6 2" xfId="428" xr:uid="{00000000-0005-0000-0000-0000A4010000}"/>
    <cellStyle name="40% - 강조색3 4 7" xfId="429" xr:uid="{00000000-0005-0000-0000-0000A5010000}"/>
    <cellStyle name="40% - 강조색3 5" xfId="430" xr:uid="{00000000-0005-0000-0000-0000A6010000}"/>
    <cellStyle name="40% - 강조색3 5 2" xfId="431" xr:uid="{00000000-0005-0000-0000-0000A7010000}"/>
    <cellStyle name="40% - 강조색3 5 2 2" xfId="432" xr:uid="{00000000-0005-0000-0000-0000A8010000}"/>
    <cellStyle name="40% - 강조색3 5 3" xfId="433" xr:uid="{00000000-0005-0000-0000-0000A9010000}"/>
    <cellStyle name="40% - 강조색3 5 3 2" xfId="434" xr:uid="{00000000-0005-0000-0000-0000AA010000}"/>
    <cellStyle name="40% - 강조색3 5 4" xfId="435" xr:uid="{00000000-0005-0000-0000-0000AB010000}"/>
    <cellStyle name="40% - 강조색3 5 4 2" xfId="436" xr:uid="{00000000-0005-0000-0000-0000AC010000}"/>
    <cellStyle name="40% - 강조색3 5 5" xfId="437" xr:uid="{00000000-0005-0000-0000-0000AD010000}"/>
    <cellStyle name="40% - 강조색3 5 5 2" xfId="438" xr:uid="{00000000-0005-0000-0000-0000AE010000}"/>
    <cellStyle name="40% - 강조색3 5 6" xfId="439" xr:uid="{00000000-0005-0000-0000-0000AF010000}"/>
    <cellStyle name="40% - 강조색3 5 6 2" xfId="440" xr:uid="{00000000-0005-0000-0000-0000B0010000}"/>
    <cellStyle name="40% - 강조색3 5 7" xfId="441" xr:uid="{00000000-0005-0000-0000-0000B1010000}"/>
    <cellStyle name="40% - 강조색4 2" xfId="442" xr:uid="{00000000-0005-0000-0000-0000B2010000}"/>
    <cellStyle name="40% - 강조색4 2 2" xfId="443" xr:uid="{00000000-0005-0000-0000-0000B3010000}"/>
    <cellStyle name="40% - 강조색4 2 2 2" xfId="444" xr:uid="{00000000-0005-0000-0000-0000B4010000}"/>
    <cellStyle name="40% - 강조색4 2 3" xfId="445" xr:uid="{00000000-0005-0000-0000-0000B5010000}"/>
    <cellStyle name="40% - 강조색4 2 3 2" xfId="446" xr:uid="{00000000-0005-0000-0000-0000B6010000}"/>
    <cellStyle name="40% - 강조색4 2 4" xfId="447" xr:uid="{00000000-0005-0000-0000-0000B7010000}"/>
    <cellStyle name="40% - 강조색4 2 4 2" xfId="448" xr:uid="{00000000-0005-0000-0000-0000B8010000}"/>
    <cellStyle name="40% - 강조색4 2 5" xfId="449" xr:uid="{00000000-0005-0000-0000-0000B9010000}"/>
    <cellStyle name="40% - 강조색4 2 5 2" xfId="450" xr:uid="{00000000-0005-0000-0000-0000BA010000}"/>
    <cellStyle name="40% - 강조색4 2 6" xfId="451" xr:uid="{00000000-0005-0000-0000-0000BB010000}"/>
    <cellStyle name="40% - 강조색4 2 6 2" xfId="452" xr:uid="{00000000-0005-0000-0000-0000BC010000}"/>
    <cellStyle name="40% - 강조색4 2 7" xfId="453" xr:uid="{00000000-0005-0000-0000-0000BD010000}"/>
    <cellStyle name="40% - 강조색4 3" xfId="454" xr:uid="{00000000-0005-0000-0000-0000BE010000}"/>
    <cellStyle name="40% - 강조색4 3 2" xfId="455" xr:uid="{00000000-0005-0000-0000-0000BF010000}"/>
    <cellStyle name="40% - 강조색4 3 2 2" xfId="456" xr:uid="{00000000-0005-0000-0000-0000C0010000}"/>
    <cellStyle name="40% - 강조색4 3 3" xfId="457" xr:uid="{00000000-0005-0000-0000-0000C1010000}"/>
    <cellStyle name="40% - 강조색4 3 3 2" xfId="458" xr:uid="{00000000-0005-0000-0000-0000C2010000}"/>
    <cellStyle name="40% - 강조색4 3 4" xfId="459" xr:uid="{00000000-0005-0000-0000-0000C3010000}"/>
    <cellStyle name="40% - 강조색4 3 4 2" xfId="460" xr:uid="{00000000-0005-0000-0000-0000C4010000}"/>
    <cellStyle name="40% - 강조색4 3 5" xfId="461" xr:uid="{00000000-0005-0000-0000-0000C5010000}"/>
    <cellStyle name="40% - 강조색4 3 5 2" xfId="462" xr:uid="{00000000-0005-0000-0000-0000C6010000}"/>
    <cellStyle name="40% - 강조색4 3 6" xfId="463" xr:uid="{00000000-0005-0000-0000-0000C7010000}"/>
    <cellStyle name="40% - 강조색4 3 6 2" xfId="464" xr:uid="{00000000-0005-0000-0000-0000C8010000}"/>
    <cellStyle name="40% - 강조색4 3 7" xfId="465" xr:uid="{00000000-0005-0000-0000-0000C9010000}"/>
    <cellStyle name="40% - 강조색4 4" xfId="466" xr:uid="{00000000-0005-0000-0000-0000CA010000}"/>
    <cellStyle name="40% - 강조색4 4 2" xfId="467" xr:uid="{00000000-0005-0000-0000-0000CB010000}"/>
    <cellStyle name="40% - 강조색4 4 2 2" xfId="468" xr:uid="{00000000-0005-0000-0000-0000CC010000}"/>
    <cellStyle name="40% - 강조색4 4 3" xfId="469" xr:uid="{00000000-0005-0000-0000-0000CD010000}"/>
    <cellStyle name="40% - 강조색4 4 3 2" xfId="470" xr:uid="{00000000-0005-0000-0000-0000CE010000}"/>
    <cellStyle name="40% - 강조색4 4 4" xfId="471" xr:uid="{00000000-0005-0000-0000-0000CF010000}"/>
    <cellStyle name="40% - 강조색4 4 4 2" xfId="472" xr:uid="{00000000-0005-0000-0000-0000D0010000}"/>
    <cellStyle name="40% - 강조색4 4 5" xfId="473" xr:uid="{00000000-0005-0000-0000-0000D1010000}"/>
    <cellStyle name="40% - 강조색4 4 5 2" xfId="474" xr:uid="{00000000-0005-0000-0000-0000D2010000}"/>
    <cellStyle name="40% - 강조색4 4 6" xfId="475" xr:uid="{00000000-0005-0000-0000-0000D3010000}"/>
    <cellStyle name="40% - 강조색4 4 6 2" xfId="476" xr:uid="{00000000-0005-0000-0000-0000D4010000}"/>
    <cellStyle name="40% - 강조색4 4 7" xfId="477" xr:uid="{00000000-0005-0000-0000-0000D5010000}"/>
    <cellStyle name="40% - 강조색4 5" xfId="478" xr:uid="{00000000-0005-0000-0000-0000D6010000}"/>
    <cellStyle name="40% - 강조색4 5 2" xfId="479" xr:uid="{00000000-0005-0000-0000-0000D7010000}"/>
    <cellStyle name="40% - 강조색4 5 2 2" xfId="480" xr:uid="{00000000-0005-0000-0000-0000D8010000}"/>
    <cellStyle name="40% - 강조색4 5 3" xfId="481" xr:uid="{00000000-0005-0000-0000-0000D9010000}"/>
    <cellStyle name="40% - 강조색4 5 3 2" xfId="482" xr:uid="{00000000-0005-0000-0000-0000DA010000}"/>
    <cellStyle name="40% - 강조색4 5 4" xfId="483" xr:uid="{00000000-0005-0000-0000-0000DB010000}"/>
    <cellStyle name="40% - 강조색4 5 4 2" xfId="484" xr:uid="{00000000-0005-0000-0000-0000DC010000}"/>
    <cellStyle name="40% - 강조색4 5 5" xfId="485" xr:uid="{00000000-0005-0000-0000-0000DD010000}"/>
    <cellStyle name="40% - 강조색4 5 5 2" xfId="486" xr:uid="{00000000-0005-0000-0000-0000DE010000}"/>
    <cellStyle name="40% - 강조색4 5 6" xfId="487" xr:uid="{00000000-0005-0000-0000-0000DF010000}"/>
    <cellStyle name="40% - 강조색4 5 6 2" xfId="488" xr:uid="{00000000-0005-0000-0000-0000E0010000}"/>
    <cellStyle name="40% - 강조색4 5 7" xfId="489" xr:uid="{00000000-0005-0000-0000-0000E1010000}"/>
    <cellStyle name="40% - 강조색5 2" xfId="490" xr:uid="{00000000-0005-0000-0000-0000E2010000}"/>
    <cellStyle name="40% - 강조색5 2 2" xfId="491" xr:uid="{00000000-0005-0000-0000-0000E3010000}"/>
    <cellStyle name="40% - 강조색5 2 2 2" xfId="492" xr:uid="{00000000-0005-0000-0000-0000E4010000}"/>
    <cellStyle name="40% - 강조색5 2 3" xfId="493" xr:uid="{00000000-0005-0000-0000-0000E5010000}"/>
    <cellStyle name="40% - 강조색5 2 3 2" xfId="494" xr:uid="{00000000-0005-0000-0000-0000E6010000}"/>
    <cellStyle name="40% - 강조색5 2 4" xfId="495" xr:uid="{00000000-0005-0000-0000-0000E7010000}"/>
    <cellStyle name="40% - 강조색5 2 4 2" xfId="496" xr:uid="{00000000-0005-0000-0000-0000E8010000}"/>
    <cellStyle name="40% - 강조색5 2 5" xfId="497" xr:uid="{00000000-0005-0000-0000-0000E9010000}"/>
    <cellStyle name="40% - 강조색5 2 5 2" xfId="498" xr:uid="{00000000-0005-0000-0000-0000EA010000}"/>
    <cellStyle name="40% - 강조색5 2 6" xfId="499" xr:uid="{00000000-0005-0000-0000-0000EB010000}"/>
    <cellStyle name="40% - 강조색5 2 6 2" xfId="500" xr:uid="{00000000-0005-0000-0000-0000EC010000}"/>
    <cellStyle name="40% - 강조색5 2 7" xfId="501" xr:uid="{00000000-0005-0000-0000-0000ED010000}"/>
    <cellStyle name="40% - 강조색5 3" xfId="502" xr:uid="{00000000-0005-0000-0000-0000EE010000}"/>
    <cellStyle name="40% - 강조색5 3 2" xfId="503" xr:uid="{00000000-0005-0000-0000-0000EF010000}"/>
    <cellStyle name="40% - 강조색5 3 2 2" xfId="504" xr:uid="{00000000-0005-0000-0000-0000F0010000}"/>
    <cellStyle name="40% - 강조색5 3 3" xfId="505" xr:uid="{00000000-0005-0000-0000-0000F1010000}"/>
    <cellStyle name="40% - 강조색5 3 3 2" xfId="506" xr:uid="{00000000-0005-0000-0000-0000F2010000}"/>
    <cellStyle name="40% - 강조색5 3 4" xfId="507" xr:uid="{00000000-0005-0000-0000-0000F3010000}"/>
    <cellStyle name="40% - 강조색5 3 4 2" xfId="508" xr:uid="{00000000-0005-0000-0000-0000F4010000}"/>
    <cellStyle name="40% - 강조색5 3 5" xfId="509" xr:uid="{00000000-0005-0000-0000-0000F5010000}"/>
    <cellStyle name="40% - 강조색5 3 5 2" xfId="510" xr:uid="{00000000-0005-0000-0000-0000F6010000}"/>
    <cellStyle name="40% - 강조색5 3 6" xfId="511" xr:uid="{00000000-0005-0000-0000-0000F7010000}"/>
    <cellStyle name="40% - 강조색5 3 6 2" xfId="512" xr:uid="{00000000-0005-0000-0000-0000F8010000}"/>
    <cellStyle name="40% - 강조색5 3 7" xfId="513" xr:uid="{00000000-0005-0000-0000-0000F9010000}"/>
    <cellStyle name="40% - 강조색5 4" xfId="514" xr:uid="{00000000-0005-0000-0000-0000FA010000}"/>
    <cellStyle name="40% - 강조색5 4 2" xfId="515" xr:uid="{00000000-0005-0000-0000-0000FB010000}"/>
    <cellStyle name="40% - 강조색5 4 2 2" xfId="516" xr:uid="{00000000-0005-0000-0000-0000FC010000}"/>
    <cellStyle name="40% - 강조색5 4 3" xfId="517" xr:uid="{00000000-0005-0000-0000-0000FD010000}"/>
    <cellStyle name="40% - 강조색5 4 3 2" xfId="518" xr:uid="{00000000-0005-0000-0000-0000FE010000}"/>
    <cellStyle name="40% - 강조색5 4 4" xfId="519" xr:uid="{00000000-0005-0000-0000-0000FF010000}"/>
    <cellStyle name="40% - 강조색5 4 4 2" xfId="520" xr:uid="{00000000-0005-0000-0000-000000020000}"/>
    <cellStyle name="40% - 강조색5 4 5" xfId="521" xr:uid="{00000000-0005-0000-0000-000001020000}"/>
    <cellStyle name="40% - 강조색5 4 5 2" xfId="522" xr:uid="{00000000-0005-0000-0000-000002020000}"/>
    <cellStyle name="40% - 강조색5 4 6" xfId="523" xr:uid="{00000000-0005-0000-0000-000003020000}"/>
    <cellStyle name="40% - 강조색5 4 6 2" xfId="524" xr:uid="{00000000-0005-0000-0000-000004020000}"/>
    <cellStyle name="40% - 강조색5 4 7" xfId="525" xr:uid="{00000000-0005-0000-0000-000005020000}"/>
    <cellStyle name="40% - 강조색5 5" xfId="526" xr:uid="{00000000-0005-0000-0000-000006020000}"/>
    <cellStyle name="40% - 강조색5 5 2" xfId="527" xr:uid="{00000000-0005-0000-0000-000007020000}"/>
    <cellStyle name="40% - 강조색5 5 2 2" xfId="528" xr:uid="{00000000-0005-0000-0000-000008020000}"/>
    <cellStyle name="40% - 강조색5 5 3" xfId="529" xr:uid="{00000000-0005-0000-0000-000009020000}"/>
    <cellStyle name="40% - 강조색5 5 3 2" xfId="530" xr:uid="{00000000-0005-0000-0000-00000A020000}"/>
    <cellStyle name="40% - 강조색5 5 4" xfId="531" xr:uid="{00000000-0005-0000-0000-00000B020000}"/>
    <cellStyle name="40% - 강조색5 5 4 2" xfId="532" xr:uid="{00000000-0005-0000-0000-00000C020000}"/>
    <cellStyle name="40% - 강조색5 5 5" xfId="533" xr:uid="{00000000-0005-0000-0000-00000D020000}"/>
    <cellStyle name="40% - 강조색5 5 5 2" xfId="534" xr:uid="{00000000-0005-0000-0000-00000E020000}"/>
    <cellStyle name="40% - 강조색5 5 6" xfId="535" xr:uid="{00000000-0005-0000-0000-00000F020000}"/>
    <cellStyle name="40% - 강조색5 5 6 2" xfId="536" xr:uid="{00000000-0005-0000-0000-000010020000}"/>
    <cellStyle name="40% - 강조색5 5 7" xfId="537" xr:uid="{00000000-0005-0000-0000-000011020000}"/>
    <cellStyle name="40% - 강조색6 2" xfId="538" xr:uid="{00000000-0005-0000-0000-000012020000}"/>
    <cellStyle name="40% - 강조색6 2 2" xfId="539" xr:uid="{00000000-0005-0000-0000-000013020000}"/>
    <cellStyle name="40% - 강조색6 2 2 2" xfId="540" xr:uid="{00000000-0005-0000-0000-000014020000}"/>
    <cellStyle name="40% - 강조색6 2 3" xfId="541" xr:uid="{00000000-0005-0000-0000-000015020000}"/>
    <cellStyle name="40% - 강조색6 2 3 2" xfId="542" xr:uid="{00000000-0005-0000-0000-000016020000}"/>
    <cellStyle name="40% - 강조색6 2 4" xfId="543" xr:uid="{00000000-0005-0000-0000-000017020000}"/>
    <cellStyle name="40% - 강조색6 2 4 2" xfId="544" xr:uid="{00000000-0005-0000-0000-000018020000}"/>
    <cellStyle name="40% - 강조색6 2 5" xfId="545" xr:uid="{00000000-0005-0000-0000-000019020000}"/>
    <cellStyle name="40% - 강조색6 2 5 2" xfId="546" xr:uid="{00000000-0005-0000-0000-00001A020000}"/>
    <cellStyle name="40% - 강조색6 2 6" xfId="547" xr:uid="{00000000-0005-0000-0000-00001B020000}"/>
    <cellStyle name="40% - 강조색6 2 6 2" xfId="548" xr:uid="{00000000-0005-0000-0000-00001C020000}"/>
    <cellStyle name="40% - 강조색6 2 7" xfId="549" xr:uid="{00000000-0005-0000-0000-00001D020000}"/>
    <cellStyle name="40% - 강조색6 3" xfId="550" xr:uid="{00000000-0005-0000-0000-00001E020000}"/>
    <cellStyle name="40% - 강조색6 3 2" xfId="551" xr:uid="{00000000-0005-0000-0000-00001F020000}"/>
    <cellStyle name="40% - 강조색6 3 2 2" xfId="552" xr:uid="{00000000-0005-0000-0000-000020020000}"/>
    <cellStyle name="40% - 강조색6 3 3" xfId="553" xr:uid="{00000000-0005-0000-0000-000021020000}"/>
    <cellStyle name="40% - 강조색6 3 3 2" xfId="554" xr:uid="{00000000-0005-0000-0000-000022020000}"/>
    <cellStyle name="40% - 강조색6 3 4" xfId="555" xr:uid="{00000000-0005-0000-0000-000023020000}"/>
    <cellStyle name="40% - 강조색6 3 4 2" xfId="556" xr:uid="{00000000-0005-0000-0000-000024020000}"/>
    <cellStyle name="40% - 강조색6 3 5" xfId="557" xr:uid="{00000000-0005-0000-0000-000025020000}"/>
    <cellStyle name="40% - 강조색6 3 5 2" xfId="558" xr:uid="{00000000-0005-0000-0000-000026020000}"/>
    <cellStyle name="40% - 강조색6 3 6" xfId="559" xr:uid="{00000000-0005-0000-0000-000027020000}"/>
    <cellStyle name="40% - 강조색6 3 6 2" xfId="560" xr:uid="{00000000-0005-0000-0000-000028020000}"/>
    <cellStyle name="40% - 강조색6 3 7" xfId="561" xr:uid="{00000000-0005-0000-0000-000029020000}"/>
    <cellStyle name="40% - 강조색6 4" xfId="562" xr:uid="{00000000-0005-0000-0000-00002A020000}"/>
    <cellStyle name="40% - 강조색6 4 2" xfId="563" xr:uid="{00000000-0005-0000-0000-00002B020000}"/>
    <cellStyle name="40% - 강조색6 4 2 2" xfId="564" xr:uid="{00000000-0005-0000-0000-00002C020000}"/>
    <cellStyle name="40% - 강조색6 4 3" xfId="565" xr:uid="{00000000-0005-0000-0000-00002D020000}"/>
    <cellStyle name="40% - 강조색6 4 3 2" xfId="566" xr:uid="{00000000-0005-0000-0000-00002E020000}"/>
    <cellStyle name="40% - 강조색6 4 4" xfId="567" xr:uid="{00000000-0005-0000-0000-00002F020000}"/>
    <cellStyle name="40% - 강조색6 4 4 2" xfId="568" xr:uid="{00000000-0005-0000-0000-000030020000}"/>
    <cellStyle name="40% - 강조색6 4 5" xfId="569" xr:uid="{00000000-0005-0000-0000-000031020000}"/>
    <cellStyle name="40% - 강조색6 4 5 2" xfId="570" xr:uid="{00000000-0005-0000-0000-000032020000}"/>
    <cellStyle name="40% - 강조색6 4 6" xfId="571" xr:uid="{00000000-0005-0000-0000-000033020000}"/>
    <cellStyle name="40% - 강조색6 4 6 2" xfId="572" xr:uid="{00000000-0005-0000-0000-000034020000}"/>
    <cellStyle name="40% - 강조색6 4 7" xfId="573" xr:uid="{00000000-0005-0000-0000-000035020000}"/>
    <cellStyle name="40% - 강조색6 5" xfId="574" xr:uid="{00000000-0005-0000-0000-000036020000}"/>
    <cellStyle name="40% - 강조색6 5 2" xfId="575" xr:uid="{00000000-0005-0000-0000-000037020000}"/>
    <cellStyle name="40% - 강조색6 5 2 2" xfId="576" xr:uid="{00000000-0005-0000-0000-000038020000}"/>
    <cellStyle name="40% - 강조색6 5 3" xfId="577" xr:uid="{00000000-0005-0000-0000-000039020000}"/>
    <cellStyle name="40% - 강조색6 5 3 2" xfId="578" xr:uid="{00000000-0005-0000-0000-00003A020000}"/>
    <cellStyle name="40% - 강조색6 5 4" xfId="579" xr:uid="{00000000-0005-0000-0000-00003B020000}"/>
    <cellStyle name="40% - 강조색6 5 4 2" xfId="580" xr:uid="{00000000-0005-0000-0000-00003C020000}"/>
    <cellStyle name="40% - 강조색6 5 5" xfId="581" xr:uid="{00000000-0005-0000-0000-00003D020000}"/>
    <cellStyle name="40% - 강조색6 5 5 2" xfId="582" xr:uid="{00000000-0005-0000-0000-00003E020000}"/>
    <cellStyle name="40% - 강조색6 5 6" xfId="583" xr:uid="{00000000-0005-0000-0000-00003F020000}"/>
    <cellStyle name="40% - 강조색6 5 6 2" xfId="584" xr:uid="{00000000-0005-0000-0000-000040020000}"/>
    <cellStyle name="40% - 강조색6 5 7" xfId="585" xr:uid="{00000000-0005-0000-0000-000041020000}"/>
    <cellStyle name="60% - 강조색1 2" xfId="586" xr:uid="{00000000-0005-0000-0000-000042020000}"/>
    <cellStyle name="60% - 강조색1 2 2" xfId="587" xr:uid="{00000000-0005-0000-0000-000043020000}"/>
    <cellStyle name="60% - 강조색1 2 3" xfId="588" xr:uid="{00000000-0005-0000-0000-000044020000}"/>
    <cellStyle name="60% - 강조색1 2 4" xfId="589" xr:uid="{00000000-0005-0000-0000-000045020000}"/>
    <cellStyle name="60% - 강조색1 2 5" xfId="590" xr:uid="{00000000-0005-0000-0000-000046020000}"/>
    <cellStyle name="60% - 강조색1 2 6" xfId="591" xr:uid="{00000000-0005-0000-0000-000047020000}"/>
    <cellStyle name="60% - 강조색1 3" xfId="592" xr:uid="{00000000-0005-0000-0000-000048020000}"/>
    <cellStyle name="60% - 강조색1 3 2" xfId="593" xr:uid="{00000000-0005-0000-0000-000049020000}"/>
    <cellStyle name="60% - 강조색1 3 3" xfId="594" xr:uid="{00000000-0005-0000-0000-00004A020000}"/>
    <cellStyle name="60% - 강조색1 3 4" xfId="595" xr:uid="{00000000-0005-0000-0000-00004B020000}"/>
    <cellStyle name="60% - 강조색1 3 5" xfId="596" xr:uid="{00000000-0005-0000-0000-00004C020000}"/>
    <cellStyle name="60% - 강조색1 3 6" xfId="597" xr:uid="{00000000-0005-0000-0000-00004D020000}"/>
    <cellStyle name="60% - 강조색1 4" xfId="598" xr:uid="{00000000-0005-0000-0000-00004E020000}"/>
    <cellStyle name="60% - 강조색1 4 2" xfId="599" xr:uid="{00000000-0005-0000-0000-00004F020000}"/>
    <cellStyle name="60% - 강조색1 4 3" xfId="600" xr:uid="{00000000-0005-0000-0000-000050020000}"/>
    <cellStyle name="60% - 강조색1 4 4" xfId="601" xr:uid="{00000000-0005-0000-0000-000051020000}"/>
    <cellStyle name="60% - 강조색1 4 5" xfId="602" xr:uid="{00000000-0005-0000-0000-000052020000}"/>
    <cellStyle name="60% - 강조색1 4 6" xfId="603" xr:uid="{00000000-0005-0000-0000-000053020000}"/>
    <cellStyle name="60% - 강조색1 5" xfId="604" xr:uid="{00000000-0005-0000-0000-000054020000}"/>
    <cellStyle name="60% - 강조색1 5 2" xfId="605" xr:uid="{00000000-0005-0000-0000-000055020000}"/>
    <cellStyle name="60% - 강조색1 5 3" xfId="606" xr:uid="{00000000-0005-0000-0000-000056020000}"/>
    <cellStyle name="60% - 강조색1 5 4" xfId="607" xr:uid="{00000000-0005-0000-0000-000057020000}"/>
    <cellStyle name="60% - 강조색1 5 5" xfId="608" xr:uid="{00000000-0005-0000-0000-000058020000}"/>
    <cellStyle name="60% - 강조색1 5 6" xfId="609" xr:uid="{00000000-0005-0000-0000-000059020000}"/>
    <cellStyle name="60% - 강조색2 2" xfId="610" xr:uid="{00000000-0005-0000-0000-00005A020000}"/>
    <cellStyle name="60% - 강조색2 2 2" xfId="611" xr:uid="{00000000-0005-0000-0000-00005B020000}"/>
    <cellStyle name="60% - 강조색2 2 3" xfId="612" xr:uid="{00000000-0005-0000-0000-00005C020000}"/>
    <cellStyle name="60% - 강조색2 2 4" xfId="613" xr:uid="{00000000-0005-0000-0000-00005D020000}"/>
    <cellStyle name="60% - 강조색2 2 5" xfId="614" xr:uid="{00000000-0005-0000-0000-00005E020000}"/>
    <cellStyle name="60% - 강조색2 2 6" xfId="615" xr:uid="{00000000-0005-0000-0000-00005F020000}"/>
    <cellStyle name="60% - 강조색2 3" xfId="616" xr:uid="{00000000-0005-0000-0000-000060020000}"/>
    <cellStyle name="60% - 강조색2 3 2" xfId="617" xr:uid="{00000000-0005-0000-0000-000061020000}"/>
    <cellStyle name="60% - 강조색2 3 3" xfId="618" xr:uid="{00000000-0005-0000-0000-000062020000}"/>
    <cellStyle name="60% - 강조색2 3 4" xfId="619" xr:uid="{00000000-0005-0000-0000-000063020000}"/>
    <cellStyle name="60% - 강조색2 3 5" xfId="620" xr:uid="{00000000-0005-0000-0000-000064020000}"/>
    <cellStyle name="60% - 강조색2 3 6" xfId="621" xr:uid="{00000000-0005-0000-0000-000065020000}"/>
    <cellStyle name="60% - 강조색2 4" xfId="622" xr:uid="{00000000-0005-0000-0000-000066020000}"/>
    <cellStyle name="60% - 강조색2 4 2" xfId="623" xr:uid="{00000000-0005-0000-0000-000067020000}"/>
    <cellStyle name="60% - 강조색2 4 3" xfId="624" xr:uid="{00000000-0005-0000-0000-000068020000}"/>
    <cellStyle name="60% - 강조색2 4 4" xfId="625" xr:uid="{00000000-0005-0000-0000-000069020000}"/>
    <cellStyle name="60% - 강조색2 4 5" xfId="626" xr:uid="{00000000-0005-0000-0000-00006A020000}"/>
    <cellStyle name="60% - 강조색2 4 6" xfId="627" xr:uid="{00000000-0005-0000-0000-00006B020000}"/>
    <cellStyle name="60% - 강조색2 5" xfId="628" xr:uid="{00000000-0005-0000-0000-00006C020000}"/>
    <cellStyle name="60% - 강조색2 5 2" xfId="629" xr:uid="{00000000-0005-0000-0000-00006D020000}"/>
    <cellStyle name="60% - 강조색2 5 3" xfId="630" xr:uid="{00000000-0005-0000-0000-00006E020000}"/>
    <cellStyle name="60% - 강조색2 5 4" xfId="631" xr:uid="{00000000-0005-0000-0000-00006F020000}"/>
    <cellStyle name="60% - 강조색2 5 5" xfId="632" xr:uid="{00000000-0005-0000-0000-000070020000}"/>
    <cellStyle name="60% - 강조색2 5 6" xfId="633" xr:uid="{00000000-0005-0000-0000-000071020000}"/>
    <cellStyle name="60% - 강조색3 2" xfId="634" xr:uid="{00000000-0005-0000-0000-000072020000}"/>
    <cellStyle name="60% - 강조색3 2 2" xfId="635" xr:uid="{00000000-0005-0000-0000-000073020000}"/>
    <cellStyle name="60% - 강조색3 2 3" xfId="636" xr:uid="{00000000-0005-0000-0000-000074020000}"/>
    <cellStyle name="60% - 강조색3 2 4" xfId="637" xr:uid="{00000000-0005-0000-0000-000075020000}"/>
    <cellStyle name="60% - 강조색3 2 5" xfId="638" xr:uid="{00000000-0005-0000-0000-000076020000}"/>
    <cellStyle name="60% - 강조색3 2 6" xfId="639" xr:uid="{00000000-0005-0000-0000-000077020000}"/>
    <cellStyle name="60% - 강조색3 3" xfId="640" xr:uid="{00000000-0005-0000-0000-000078020000}"/>
    <cellStyle name="60% - 강조색3 3 2" xfId="641" xr:uid="{00000000-0005-0000-0000-000079020000}"/>
    <cellStyle name="60% - 강조색3 3 3" xfId="642" xr:uid="{00000000-0005-0000-0000-00007A020000}"/>
    <cellStyle name="60% - 강조색3 3 4" xfId="643" xr:uid="{00000000-0005-0000-0000-00007B020000}"/>
    <cellStyle name="60% - 강조색3 3 5" xfId="644" xr:uid="{00000000-0005-0000-0000-00007C020000}"/>
    <cellStyle name="60% - 강조색3 3 6" xfId="645" xr:uid="{00000000-0005-0000-0000-00007D020000}"/>
    <cellStyle name="60% - 강조색3 4" xfId="646" xr:uid="{00000000-0005-0000-0000-00007E020000}"/>
    <cellStyle name="60% - 강조색3 4 2" xfId="647" xr:uid="{00000000-0005-0000-0000-00007F020000}"/>
    <cellStyle name="60% - 강조색3 4 3" xfId="648" xr:uid="{00000000-0005-0000-0000-000080020000}"/>
    <cellStyle name="60% - 강조색3 4 4" xfId="649" xr:uid="{00000000-0005-0000-0000-000081020000}"/>
    <cellStyle name="60% - 강조색3 4 5" xfId="650" xr:uid="{00000000-0005-0000-0000-000082020000}"/>
    <cellStyle name="60% - 강조색3 4 6" xfId="651" xr:uid="{00000000-0005-0000-0000-000083020000}"/>
    <cellStyle name="60% - 강조색3 5" xfId="652" xr:uid="{00000000-0005-0000-0000-000084020000}"/>
    <cellStyle name="60% - 강조색3 5 2" xfId="653" xr:uid="{00000000-0005-0000-0000-000085020000}"/>
    <cellStyle name="60% - 강조색3 5 3" xfId="654" xr:uid="{00000000-0005-0000-0000-000086020000}"/>
    <cellStyle name="60% - 강조색3 5 4" xfId="655" xr:uid="{00000000-0005-0000-0000-000087020000}"/>
    <cellStyle name="60% - 강조색3 5 5" xfId="656" xr:uid="{00000000-0005-0000-0000-000088020000}"/>
    <cellStyle name="60% - 강조색3 5 6" xfId="657" xr:uid="{00000000-0005-0000-0000-000089020000}"/>
    <cellStyle name="60% - 강조색4 2" xfId="658" xr:uid="{00000000-0005-0000-0000-00008A020000}"/>
    <cellStyle name="60% - 강조색4 2 2" xfId="659" xr:uid="{00000000-0005-0000-0000-00008B020000}"/>
    <cellStyle name="60% - 강조색4 2 3" xfId="660" xr:uid="{00000000-0005-0000-0000-00008C020000}"/>
    <cellStyle name="60% - 강조색4 2 4" xfId="661" xr:uid="{00000000-0005-0000-0000-00008D020000}"/>
    <cellStyle name="60% - 강조색4 2 5" xfId="662" xr:uid="{00000000-0005-0000-0000-00008E020000}"/>
    <cellStyle name="60% - 강조색4 2 6" xfId="663" xr:uid="{00000000-0005-0000-0000-00008F020000}"/>
    <cellStyle name="60% - 강조색4 3" xfId="664" xr:uid="{00000000-0005-0000-0000-000090020000}"/>
    <cellStyle name="60% - 강조색4 3 2" xfId="665" xr:uid="{00000000-0005-0000-0000-000091020000}"/>
    <cellStyle name="60% - 강조색4 3 3" xfId="666" xr:uid="{00000000-0005-0000-0000-000092020000}"/>
    <cellStyle name="60% - 강조색4 3 4" xfId="667" xr:uid="{00000000-0005-0000-0000-000093020000}"/>
    <cellStyle name="60% - 강조색4 3 5" xfId="668" xr:uid="{00000000-0005-0000-0000-000094020000}"/>
    <cellStyle name="60% - 강조색4 3 6" xfId="669" xr:uid="{00000000-0005-0000-0000-000095020000}"/>
    <cellStyle name="60% - 강조색4 4" xfId="670" xr:uid="{00000000-0005-0000-0000-000096020000}"/>
    <cellStyle name="60% - 강조색4 4 2" xfId="671" xr:uid="{00000000-0005-0000-0000-000097020000}"/>
    <cellStyle name="60% - 강조색4 4 3" xfId="672" xr:uid="{00000000-0005-0000-0000-000098020000}"/>
    <cellStyle name="60% - 강조색4 4 4" xfId="673" xr:uid="{00000000-0005-0000-0000-000099020000}"/>
    <cellStyle name="60% - 강조색4 4 5" xfId="674" xr:uid="{00000000-0005-0000-0000-00009A020000}"/>
    <cellStyle name="60% - 강조색4 4 6" xfId="675" xr:uid="{00000000-0005-0000-0000-00009B020000}"/>
    <cellStyle name="60% - 강조색4 5" xfId="676" xr:uid="{00000000-0005-0000-0000-00009C020000}"/>
    <cellStyle name="60% - 강조색4 5 2" xfId="677" xr:uid="{00000000-0005-0000-0000-00009D020000}"/>
    <cellStyle name="60% - 강조색4 5 3" xfId="678" xr:uid="{00000000-0005-0000-0000-00009E020000}"/>
    <cellStyle name="60% - 강조색4 5 4" xfId="679" xr:uid="{00000000-0005-0000-0000-00009F020000}"/>
    <cellStyle name="60% - 강조색4 5 5" xfId="680" xr:uid="{00000000-0005-0000-0000-0000A0020000}"/>
    <cellStyle name="60% - 강조색4 5 6" xfId="681" xr:uid="{00000000-0005-0000-0000-0000A1020000}"/>
    <cellStyle name="60% - 강조색5 2" xfId="682" xr:uid="{00000000-0005-0000-0000-0000A2020000}"/>
    <cellStyle name="60% - 강조색5 2 2" xfId="683" xr:uid="{00000000-0005-0000-0000-0000A3020000}"/>
    <cellStyle name="60% - 강조색5 2 3" xfId="684" xr:uid="{00000000-0005-0000-0000-0000A4020000}"/>
    <cellStyle name="60% - 강조색5 2 4" xfId="685" xr:uid="{00000000-0005-0000-0000-0000A5020000}"/>
    <cellStyle name="60% - 강조색5 2 5" xfId="686" xr:uid="{00000000-0005-0000-0000-0000A6020000}"/>
    <cellStyle name="60% - 강조색5 2 6" xfId="687" xr:uid="{00000000-0005-0000-0000-0000A7020000}"/>
    <cellStyle name="60% - 강조색5 3" xfId="688" xr:uid="{00000000-0005-0000-0000-0000A8020000}"/>
    <cellStyle name="60% - 강조색5 3 2" xfId="689" xr:uid="{00000000-0005-0000-0000-0000A9020000}"/>
    <cellStyle name="60% - 강조색5 3 3" xfId="690" xr:uid="{00000000-0005-0000-0000-0000AA020000}"/>
    <cellStyle name="60% - 강조색5 3 4" xfId="691" xr:uid="{00000000-0005-0000-0000-0000AB020000}"/>
    <cellStyle name="60% - 강조색5 3 5" xfId="692" xr:uid="{00000000-0005-0000-0000-0000AC020000}"/>
    <cellStyle name="60% - 강조색5 3 6" xfId="693" xr:uid="{00000000-0005-0000-0000-0000AD020000}"/>
    <cellStyle name="60% - 강조색5 4" xfId="694" xr:uid="{00000000-0005-0000-0000-0000AE020000}"/>
    <cellStyle name="60% - 강조색5 4 2" xfId="695" xr:uid="{00000000-0005-0000-0000-0000AF020000}"/>
    <cellStyle name="60% - 강조색5 4 3" xfId="696" xr:uid="{00000000-0005-0000-0000-0000B0020000}"/>
    <cellStyle name="60% - 강조색5 4 4" xfId="697" xr:uid="{00000000-0005-0000-0000-0000B1020000}"/>
    <cellStyle name="60% - 강조색5 4 5" xfId="698" xr:uid="{00000000-0005-0000-0000-0000B2020000}"/>
    <cellStyle name="60% - 강조색5 4 6" xfId="699" xr:uid="{00000000-0005-0000-0000-0000B3020000}"/>
    <cellStyle name="60% - 강조색5 5" xfId="700" xr:uid="{00000000-0005-0000-0000-0000B4020000}"/>
    <cellStyle name="60% - 강조색5 5 2" xfId="701" xr:uid="{00000000-0005-0000-0000-0000B5020000}"/>
    <cellStyle name="60% - 강조색5 5 3" xfId="702" xr:uid="{00000000-0005-0000-0000-0000B6020000}"/>
    <cellStyle name="60% - 강조색5 5 4" xfId="703" xr:uid="{00000000-0005-0000-0000-0000B7020000}"/>
    <cellStyle name="60% - 강조색5 5 5" xfId="704" xr:uid="{00000000-0005-0000-0000-0000B8020000}"/>
    <cellStyle name="60% - 강조색5 5 6" xfId="705" xr:uid="{00000000-0005-0000-0000-0000B9020000}"/>
    <cellStyle name="60% - 강조색6 2" xfId="706" xr:uid="{00000000-0005-0000-0000-0000BA020000}"/>
    <cellStyle name="60% - 강조색6 2 2" xfId="707" xr:uid="{00000000-0005-0000-0000-0000BB020000}"/>
    <cellStyle name="60% - 강조색6 2 3" xfId="708" xr:uid="{00000000-0005-0000-0000-0000BC020000}"/>
    <cellStyle name="60% - 강조색6 2 4" xfId="709" xr:uid="{00000000-0005-0000-0000-0000BD020000}"/>
    <cellStyle name="60% - 강조색6 2 5" xfId="710" xr:uid="{00000000-0005-0000-0000-0000BE020000}"/>
    <cellStyle name="60% - 강조색6 2 6" xfId="711" xr:uid="{00000000-0005-0000-0000-0000BF020000}"/>
    <cellStyle name="60% - 강조색6 3" xfId="712" xr:uid="{00000000-0005-0000-0000-0000C0020000}"/>
    <cellStyle name="60% - 강조색6 3 2" xfId="713" xr:uid="{00000000-0005-0000-0000-0000C1020000}"/>
    <cellStyle name="60% - 강조색6 3 3" xfId="714" xr:uid="{00000000-0005-0000-0000-0000C2020000}"/>
    <cellStyle name="60% - 강조색6 3 4" xfId="715" xr:uid="{00000000-0005-0000-0000-0000C3020000}"/>
    <cellStyle name="60% - 강조색6 3 5" xfId="716" xr:uid="{00000000-0005-0000-0000-0000C4020000}"/>
    <cellStyle name="60% - 강조색6 3 6" xfId="717" xr:uid="{00000000-0005-0000-0000-0000C5020000}"/>
    <cellStyle name="60% - 강조색6 4" xfId="718" xr:uid="{00000000-0005-0000-0000-0000C6020000}"/>
    <cellStyle name="60% - 강조색6 4 2" xfId="719" xr:uid="{00000000-0005-0000-0000-0000C7020000}"/>
    <cellStyle name="60% - 강조색6 4 3" xfId="720" xr:uid="{00000000-0005-0000-0000-0000C8020000}"/>
    <cellStyle name="60% - 강조색6 4 4" xfId="721" xr:uid="{00000000-0005-0000-0000-0000C9020000}"/>
    <cellStyle name="60% - 강조색6 4 5" xfId="722" xr:uid="{00000000-0005-0000-0000-0000CA020000}"/>
    <cellStyle name="60% - 강조색6 4 6" xfId="723" xr:uid="{00000000-0005-0000-0000-0000CB020000}"/>
    <cellStyle name="60% - 강조색6 5" xfId="724" xr:uid="{00000000-0005-0000-0000-0000CC020000}"/>
    <cellStyle name="60% - 강조색6 5 2" xfId="725" xr:uid="{00000000-0005-0000-0000-0000CD020000}"/>
    <cellStyle name="60% - 강조색6 5 3" xfId="726" xr:uid="{00000000-0005-0000-0000-0000CE020000}"/>
    <cellStyle name="60% - 강조색6 5 4" xfId="727" xr:uid="{00000000-0005-0000-0000-0000CF020000}"/>
    <cellStyle name="60% - 강조색6 5 5" xfId="728" xr:uid="{00000000-0005-0000-0000-0000D0020000}"/>
    <cellStyle name="60% - 강조색6 5 6" xfId="729" xr:uid="{00000000-0005-0000-0000-0000D1020000}"/>
    <cellStyle name="Comma [0]_MATERAL2" xfId="730" xr:uid="{00000000-0005-0000-0000-0000D2020000}"/>
    <cellStyle name="Comma_MATERAL2" xfId="731" xr:uid="{00000000-0005-0000-0000-0000D3020000}"/>
    <cellStyle name="Currency [0]_MATERAL2" xfId="732" xr:uid="{00000000-0005-0000-0000-0000D4020000}"/>
    <cellStyle name="Currency_MATERAL2" xfId="733" xr:uid="{00000000-0005-0000-0000-0000D5020000}"/>
    <cellStyle name="Normal_Certs Q2" xfId="734" xr:uid="{00000000-0005-0000-0000-0000D6020000}"/>
    <cellStyle name="강조색1 2" xfId="735" xr:uid="{00000000-0005-0000-0000-0000D7020000}"/>
    <cellStyle name="강조색1 2 2" xfId="736" xr:uid="{00000000-0005-0000-0000-0000D8020000}"/>
    <cellStyle name="강조색1 2 3" xfId="737" xr:uid="{00000000-0005-0000-0000-0000D9020000}"/>
    <cellStyle name="강조색1 2 4" xfId="738" xr:uid="{00000000-0005-0000-0000-0000DA020000}"/>
    <cellStyle name="강조색1 2 5" xfId="739" xr:uid="{00000000-0005-0000-0000-0000DB020000}"/>
    <cellStyle name="강조색1 2 6" xfId="740" xr:uid="{00000000-0005-0000-0000-0000DC020000}"/>
    <cellStyle name="강조색1 3" xfId="741" xr:uid="{00000000-0005-0000-0000-0000DD020000}"/>
    <cellStyle name="강조색1 3 2" xfId="742" xr:uid="{00000000-0005-0000-0000-0000DE020000}"/>
    <cellStyle name="강조색1 3 3" xfId="743" xr:uid="{00000000-0005-0000-0000-0000DF020000}"/>
    <cellStyle name="강조색1 3 4" xfId="744" xr:uid="{00000000-0005-0000-0000-0000E0020000}"/>
    <cellStyle name="강조색1 3 5" xfId="745" xr:uid="{00000000-0005-0000-0000-0000E1020000}"/>
    <cellStyle name="강조색1 3 6" xfId="746" xr:uid="{00000000-0005-0000-0000-0000E2020000}"/>
    <cellStyle name="강조색1 4" xfId="747" xr:uid="{00000000-0005-0000-0000-0000E3020000}"/>
    <cellStyle name="강조색1 4 2" xfId="748" xr:uid="{00000000-0005-0000-0000-0000E4020000}"/>
    <cellStyle name="강조색1 4 3" xfId="749" xr:uid="{00000000-0005-0000-0000-0000E5020000}"/>
    <cellStyle name="강조색1 4 4" xfId="750" xr:uid="{00000000-0005-0000-0000-0000E6020000}"/>
    <cellStyle name="강조색1 4 5" xfId="751" xr:uid="{00000000-0005-0000-0000-0000E7020000}"/>
    <cellStyle name="강조색1 4 6" xfId="752" xr:uid="{00000000-0005-0000-0000-0000E8020000}"/>
    <cellStyle name="강조색1 5" xfId="753" xr:uid="{00000000-0005-0000-0000-0000E9020000}"/>
    <cellStyle name="강조색1 5 2" xfId="754" xr:uid="{00000000-0005-0000-0000-0000EA020000}"/>
    <cellStyle name="강조색1 5 3" xfId="755" xr:uid="{00000000-0005-0000-0000-0000EB020000}"/>
    <cellStyle name="강조색1 5 4" xfId="756" xr:uid="{00000000-0005-0000-0000-0000EC020000}"/>
    <cellStyle name="강조색1 5 5" xfId="757" xr:uid="{00000000-0005-0000-0000-0000ED020000}"/>
    <cellStyle name="강조색1 5 6" xfId="758" xr:uid="{00000000-0005-0000-0000-0000EE020000}"/>
    <cellStyle name="강조색2 2" xfId="759" xr:uid="{00000000-0005-0000-0000-0000EF020000}"/>
    <cellStyle name="강조색2 2 2" xfId="760" xr:uid="{00000000-0005-0000-0000-0000F0020000}"/>
    <cellStyle name="강조색2 2 3" xfId="761" xr:uid="{00000000-0005-0000-0000-0000F1020000}"/>
    <cellStyle name="강조색2 2 4" xfId="762" xr:uid="{00000000-0005-0000-0000-0000F2020000}"/>
    <cellStyle name="강조색2 2 5" xfId="763" xr:uid="{00000000-0005-0000-0000-0000F3020000}"/>
    <cellStyle name="강조색2 2 6" xfId="764" xr:uid="{00000000-0005-0000-0000-0000F4020000}"/>
    <cellStyle name="강조색2 3" xfId="765" xr:uid="{00000000-0005-0000-0000-0000F5020000}"/>
    <cellStyle name="강조색2 3 2" xfId="766" xr:uid="{00000000-0005-0000-0000-0000F6020000}"/>
    <cellStyle name="강조색2 3 3" xfId="767" xr:uid="{00000000-0005-0000-0000-0000F7020000}"/>
    <cellStyle name="강조색2 3 4" xfId="768" xr:uid="{00000000-0005-0000-0000-0000F8020000}"/>
    <cellStyle name="강조색2 3 5" xfId="769" xr:uid="{00000000-0005-0000-0000-0000F9020000}"/>
    <cellStyle name="강조색2 3 6" xfId="770" xr:uid="{00000000-0005-0000-0000-0000FA020000}"/>
    <cellStyle name="강조색2 4" xfId="771" xr:uid="{00000000-0005-0000-0000-0000FB020000}"/>
    <cellStyle name="강조색2 4 2" xfId="772" xr:uid="{00000000-0005-0000-0000-0000FC020000}"/>
    <cellStyle name="강조색2 4 3" xfId="773" xr:uid="{00000000-0005-0000-0000-0000FD020000}"/>
    <cellStyle name="강조색2 4 4" xfId="774" xr:uid="{00000000-0005-0000-0000-0000FE020000}"/>
    <cellStyle name="강조색2 4 5" xfId="775" xr:uid="{00000000-0005-0000-0000-0000FF020000}"/>
    <cellStyle name="강조색2 4 6" xfId="776" xr:uid="{00000000-0005-0000-0000-000000030000}"/>
    <cellStyle name="강조색2 5" xfId="777" xr:uid="{00000000-0005-0000-0000-000001030000}"/>
    <cellStyle name="강조색2 5 2" xfId="778" xr:uid="{00000000-0005-0000-0000-000002030000}"/>
    <cellStyle name="강조색2 5 3" xfId="779" xr:uid="{00000000-0005-0000-0000-000003030000}"/>
    <cellStyle name="강조색2 5 4" xfId="780" xr:uid="{00000000-0005-0000-0000-000004030000}"/>
    <cellStyle name="강조색2 5 5" xfId="781" xr:uid="{00000000-0005-0000-0000-000005030000}"/>
    <cellStyle name="강조색2 5 6" xfId="782" xr:uid="{00000000-0005-0000-0000-000006030000}"/>
    <cellStyle name="강조색3 2" xfId="783" xr:uid="{00000000-0005-0000-0000-000007030000}"/>
    <cellStyle name="강조색3 2 2" xfId="784" xr:uid="{00000000-0005-0000-0000-000008030000}"/>
    <cellStyle name="강조색3 2 3" xfId="785" xr:uid="{00000000-0005-0000-0000-000009030000}"/>
    <cellStyle name="강조색3 2 4" xfId="786" xr:uid="{00000000-0005-0000-0000-00000A030000}"/>
    <cellStyle name="강조색3 2 5" xfId="787" xr:uid="{00000000-0005-0000-0000-00000B030000}"/>
    <cellStyle name="강조색3 2 6" xfId="788" xr:uid="{00000000-0005-0000-0000-00000C030000}"/>
    <cellStyle name="강조색3 3" xfId="789" xr:uid="{00000000-0005-0000-0000-00000D030000}"/>
    <cellStyle name="강조색3 3 2" xfId="790" xr:uid="{00000000-0005-0000-0000-00000E030000}"/>
    <cellStyle name="강조색3 3 3" xfId="791" xr:uid="{00000000-0005-0000-0000-00000F030000}"/>
    <cellStyle name="강조색3 3 4" xfId="792" xr:uid="{00000000-0005-0000-0000-000010030000}"/>
    <cellStyle name="강조색3 3 5" xfId="793" xr:uid="{00000000-0005-0000-0000-000011030000}"/>
    <cellStyle name="강조색3 3 6" xfId="794" xr:uid="{00000000-0005-0000-0000-000012030000}"/>
    <cellStyle name="강조색3 4" xfId="795" xr:uid="{00000000-0005-0000-0000-000013030000}"/>
    <cellStyle name="강조색3 4 2" xfId="796" xr:uid="{00000000-0005-0000-0000-000014030000}"/>
    <cellStyle name="강조색3 4 3" xfId="797" xr:uid="{00000000-0005-0000-0000-000015030000}"/>
    <cellStyle name="강조색3 4 4" xfId="798" xr:uid="{00000000-0005-0000-0000-000016030000}"/>
    <cellStyle name="강조색3 4 5" xfId="799" xr:uid="{00000000-0005-0000-0000-000017030000}"/>
    <cellStyle name="강조색3 4 6" xfId="800" xr:uid="{00000000-0005-0000-0000-000018030000}"/>
    <cellStyle name="강조색3 5" xfId="801" xr:uid="{00000000-0005-0000-0000-000019030000}"/>
    <cellStyle name="강조색3 5 2" xfId="802" xr:uid="{00000000-0005-0000-0000-00001A030000}"/>
    <cellStyle name="강조색3 5 3" xfId="803" xr:uid="{00000000-0005-0000-0000-00001B030000}"/>
    <cellStyle name="강조색3 5 4" xfId="804" xr:uid="{00000000-0005-0000-0000-00001C030000}"/>
    <cellStyle name="강조색3 5 5" xfId="805" xr:uid="{00000000-0005-0000-0000-00001D030000}"/>
    <cellStyle name="강조색3 5 6" xfId="806" xr:uid="{00000000-0005-0000-0000-00001E030000}"/>
    <cellStyle name="강조색4 2" xfId="807" xr:uid="{00000000-0005-0000-0000-00001F030000}"/>
    <cellStyle name="강조색4 2 2" xfId="808" xr:uid="{00000000-0005-0000-0000-000020030000}"/>
    <cellStyle name="강조색4 2 3" xfId="809" xr:uid="{00000000-0005-0000-0000-000021030000}"/>
    <cellStyle name="강조색4 2 4" xfId="810" xr:uid="{00000000-0005-0000-0000-000022030000}"/>
    <cellStyle name="강조색4 2 5" xfId="811" xr:uid="{00000000-0005-0000-0000-000023030000}"/>
    <cellStyle name="강조색4 2 6" xfId="812" xr:uid="{00000000-0005-0000-0000-000024030000}"/>
    <cellStyle name="강조색4 3" xfId="813" xr:uid="{00000000-0005-0000-0000-000025030000}"/>
    <cellStyle name="강조색4 3 2" xfId="814" xr:uid="{00000000-0005-0000-0000-000026030000}"/>
    <cellStyle name="강조색4 3 3" xfId="815" xr:uid="{00000000-0005-0000-0000-000027030000}"/>
    <cellStyle name="강조색4 3 4" xfId="816" xr:uid="{00000000-0005-0000-0000-000028030000}"/>
    <cellStyle name="강조색4 3 5" xfId="817" xr:uid="{00000000-0005-0000-0000-000029030000}"/>
    <cellStyle name="강조색4 3 6" xfId="818" xr:uid="{00000000-0005-0000-0000-00002A030000}"/>
    <cellStyle name="강조색4 4" xfId="819" xr:uid="{00000000-0005-0000-0000-00002B030000}"/>
    <cellStyle name="강조색4 4 2" xfId="820" xr:uid="{00000000-0005-0000-0000-00002C030000}"/>
    <cellStyle name="강조색4 4 3" xfId="821" xr:uid="{00000000-0005-0000-0000-00002D030000}"/>
    <cellStyle name="강조색4 4 4" xfId="822" xr:uid="{00000000-0005-0000-0000-00002E030000}"/>
    <cellStyle name="강조색4 4 5" xfId="823" xr:uid="{00000000-0005-0000-0000-00002F030000}"/>
    <cellStyle name="강조색4 4 6" xfId="824" xr:uid="{00000000-0005-0000-0000-000030030000}"/>
    <cellStyle name="강조색4 5" xfId="825" xr:uid="{00000000-0005-0000-0000-000031030000}"/>
    <cellStyle name="강조색4 5 2" xfId="826" xr:uid="{00000000-0005-0000-0000-000032030000}"/>
    <cellStyle name="강조색4 5 3" xfId="827" xr:uid="{00000000-0005-0000-0000-000033030000}"/>
    <cellStyle name="강조색4 5 4" xfId="828" xr:uid="{00000000-0005-0000-0000-000034030000}"/>
    <cellStyle name="강조색4 5 5" xfId="829" xr:uid="{00000000-0005-0000-0000-000035030000}"/>
    <cellStyle name="강조색4 5 6" xfId="830" xr:uid="{00000000-0005-0000-0000-000036030000}"/>
    <cellStyle name="강조색5 2" xfId="831" xr:uid="{00000000-0005-0000-0000-000037030000}"/>
    <cellStyle name="강조색5 2 2" xfId="832" xr:uid="{00000000-0005-0000-0000-000038030000}"/>
    <cellStyle name="강조색5 2 3" xfId="833" xr:uid="{00000000-0005-0000-0000-000039030000}"/>
    <cellStyle name="강조색5 2 4" xfId="834" xr:uid="{00000000-0005-0000-0000-00003A030000}"/>
    <cellStyle name="강조색5 2 5" xfId="835" xr:uid="{00000000-0005-0000-0000-00003B030000}"/>
    <cellStyle name="강조색5 2 6" xfId="836" xr:uid="{00000000-0005-0000-0000-00003C030000}"/>
    <cellStyle name="강조색5 3" xfId="837" xr:uid="{00000000-0005-0000-0000-00003D030000}"/>
    <cellStyle name="강조색5 3 2" xfId="838" xr:uid="{00000000-0005-0000-0000-00003E030000}"/>
    <cellStyle name="강조색5 3 3" xfId="839" xr:uid="{00000000-0005-0000-0000-00003F030000}"/>
    <cellStyle name="강조색5 3 4" xfId="840" xr:uid="{00000000-0005-0000-0000-000040030000}"/>
    <cellStyle name="강조색5 3 5" xfId="841" xr:uid="{00000000-0005-0000-0000-000041030000}"/>
    <cellStyle name="강조색5 3 6" xfId="842" xr:uid="{00000000-0005-0000-0000-000042030000}"/>
    <cellStyle name="강조색5 4" xfId="843" xr:uid="{00000000-0005-0000-0000-000043030000}"/>
    <cellStyle name="강조색5 4 2" xfId="844" xr:uid="{00000000-0005-0000-0000-000044030000}"/>
    <cellStyle name="강조색5 4 3" xfId="845" xr:uid="{00000000-0005-0000-0000-000045030000}"/>
    <cellStyle name="강조색5 4 4" xfId="846" xr:uid="{00000000-0005-0000-0000-000046030000}"/>
    <cellStyle name="강조색5 4 5" xfId="847" xr:uid="{00000000-0005-0000-0000-000047030000}"/>
    <cellStyle name="강조색5 4 6" xfId="848" xr:uid="{00000000-0005-0000-0000-000048030000}"/>
    <cellStyle name="강조색5 5" xfId="849" xr:uid="{00000000-0005-0000-0000-000049030000}"/>
    <cellStyle name="강조색5 5 2" xfId="850" xr:uid="{00000000-0005-0000-0000-00004A030000}"/>
    <cellStyle name="강조색5 5 3" xfId="851" xr:uid="{00000000-0005-0000-0000-00004B030000}"/>
    <cellStyle name="강조색5 5 4" xfId="852" xr:uid="{00000000-0005-0000-0000-00004C030000}"/>
    <cellStyle name="강조색5 5 5" xfId="853" xr:uid="{00000000-0005-0000-0000-00004D030000}"/>
    <cellStyle name="강조색5 5 6" xfId="854" xr:uid="{00000000-0005-0000-0000-00004E030000}"/>
    <cellStyle name="강조색6 2" xfId="855" xr:uid="{00000000-0005-0000-0000-00004F030000}"/>
    <cellStyle name="강조색6 2 2" xfId="856" xr:uid="{00000000-0005-0000-0000-000050030000}"/>
    <cellStyle name="강조색6 2 3" xfId="857" xr:uid="{00000000-0005-0000-0000-000051030000}"/>
    <cellStyle name="강조색6 2 4" xfId="858" xr:uid="{00000000-0005-0000-0000-000052030000}"/>
    <cellStyle name="강조색6 2 5" xfId="859" xr:uid="{00000000-0005-0000-0000-000053030000}"/>
    <cellStyle name="강조색6 2 6" xfId="860" xr:uid="{00000000-0005-0000-0000-000054030000}"/>
    <cellStyle name="강조색6 3" xfId="861" xr:uid="{00000000-0005-0000-0000-000055030000}"/>
    <cellStyle name="강조색6 3 2" xfId="862" xr:uid="{00000000-0005-0000-0000-000056030000}"/>
    <cellStyle name="강조색6 3 3" xfId="863" xr:uid="{00000000-0005-0000-0000-000057030000}"/>
    <cellStyle name="강조색6 3 4" xfId="864" xr:uid="{00000000-0005-0000-0000-000058030000}"/>
    <cellStyle name="강조색6 3 5" xfId="865" xr:uid="{00000000-0005-0000-0000-000059030000}"/>
    <cellStyle name="강조색6 3 6" xfId="866" xr:uid="{00000000-0005-0000-0000-00005A030000}"/>
    <cellStyle name="강조색6 4" xfId="867" xr:uid="{00000000-0005-0000-0000-00005B030000}"/>
    <cellStyle name="강조색6 4 2" xfId="868" xr:uid="{00000000-0005-0000-0000-00005C030000}"/>
    <cellStyle name="강조색6 4 3" xfId="869" xr:uid="{00000000-0005-0000-0000-00005D030000}"/>
    <cellStyle name="강조색6 4 4" xfId="870" xr:uid="{00000000-0005-0000-0000-00005E030000}"/>
    <cellStyle name="강조색6 4 5" xfId="871" xr:uid="{00000000-0005-0000-0000-00005F030000}"/>
    <cellStyle name="강조색6 4 6" xfId="872" xr:uid="{00000000-0005-0000-0000-000060030000}"/>
    <cellStyle name="강조색6 5" xfId="873" xr:uid="{00000000-0005-0000-0000-000061030000}"/>
    <cellStyle name="강조색6 5 2" xfId="874" xr:uid="{00000000-0005-0000-0000-000062030000}"/>
    <cellStyle name="강조색6 5 3" xfId="875" xr:uid="{00000000-0005-0000-0000-000063030000}"/>
    <cellStyle name="강조색6 5 4" xfId="876" xr:uid="{00000000-0005-0000-0000-000064030000}"/>
    <cellStyle name="강조색6 5 5" xfId="877" xr:uid="{00000000-0005-0000-0000-000065030000}"/>
    <cellStyle name="강조색6 5 6" xfId="878" xr:uid="{00000000-0005-0000-0000-000066030000}"/>
    <cellStyle name="경고문 2" xfId="879" xr:uid="{00000000-0005-0000-0000-000067030000}"/>
    <cellStyle name="경고문 2 2" xfId="880" xr:uid="{00000000-0005-0000-0000-000068030000}"/>
    <cellStyle name="경고문 2 3" xfId="881" xr:uid="{00000000-0005-0000-0000-000069030000}"/>
    <cellStyle name="경고문 2 4" xfId="882" xr:uid="{00000000-0005-0000-0000-00006A030000}"/>
    <cellStyle name="경고문 2 5" xfId="883" xr:uid="{00000000-0005-0000-0000-00006B030000}"/>
    <cellStyle name="경고문 2 6" xfId="884" xr:uid="{00000000-0005-0000-0000-00006C030000}"/>
    <cellStyle name="경고문 3" xfId="885" xr:uid="{00000000-0005-0000-0000-00006D030000}"/>
    <cellStyle name="경고문 3 2" xfId="886" xr:uid="{00000000-0005-0000-0000-00006E030000}"/>
    <cellStyle name="경고문 3 3" xfId="887" xr:uid="{00000000-0005-0000-0000-00006F030000}"/>
    <cellStyle name="경고문 3 4" xfId="888" xr:uid="{00000000-0005-0000-0000-000070030000}"/>
    <cellStyle name="경고문 3 5" xfId="889" xr:uid="{00000000-0005-0000-0000-000071030000}"/>
    <cellStyle name="경고문 3 6" xfId="890" xr:uid="{00000000-0005-0000-0000-000072030000}"/>
    <cellStyle name="경고문 4" xfId="891" xr:uid="{00000000-0005-0000-0000-000073030000}"/>
    <cellStyle name="경고문 4 2" xfId="892" xr:uid="{00000000-0005-0000-0000-000074030000}"/>
    <cellStyle name="경고문 4 3" xfId="893" xr:uid="{00000000-0005-0000-0000-000075030000}"/>
    <cellStyle name="경고문 4 4" xfId="894" xr:uid="{00000000-0005-0000-0000-000076030000}"/>
    <cellStyle name="경고문 4 5" xfId="895" xr:uid="{00000000-0005-0000-0000-000077030000}"/>
    <cellStyle name="경고문 4 6" xfId="896" xr:uid="{00000000-0005-0000-0000-000078030000}"/>
    <cellStyle name="경고문 5" xfId="897" xr:uid="{00000000-0005-0000-0000-000079030000}"/>
    <cellStyle name="경고문 5 2" xfId="898" xr:uid="{00000000-0005-0000-0000-00007A030000}"/>
    <cellStyle name="경고문 5 3" xfId="899" xr:uid="{00000000-0005-0000-0000-00007B030000}"/>
    <cellStyle name="경고문 5 4" xfId="900" xr:uid="{00000000-0005-0000-0000-00007C030000}"/>
    <cellStyle name="경고문 5 5" xfId="901" xr:uid="{00000000-0005-0000-0000-00007D030000}"/>
    <cellStyle name="경고문 5 6" xfId="902" xr:uid="{00000000-0005-0000-0000-00007E030000}"/>
    <cellStyle name="계산 2" xfId="903" xr:uid="{00000000-0005-0000-0000-00007F030000}"/>
    <cellStyle name="계산 2 2" xfId="904" xr:uid="{00000000-0005-0000-0000-000080030000}"/>
    <cellStyle name="계산 2 3" xfId="905" xr:uid="{00000000-0005-0000-0000-000081030000}"/>
    <cellStyle name="계산 2 4" xfId="906" xr:uid="{00000000-0005-0000-0000-000082030000}"/>
    <cellStyle name="계산 2 5" xfId="907" xr:uid="{00000000-0005-0000-0000-000083030000}"/>
    <cellStyle name="계산 2 6" xfId="908" xr:uid="{00000000-0005-0000-0000-000084030000}"/>
    <cellStyle name="계산 3" xfId="909" xr:uid="{00000000-0005-0000-0000-000085030000}"/>
    <cellStyle name="계산 3 2" xfId="910" xr:uid="{00000000-0005-0000-0000-000086030000}"/>
    <cellStyle name="계산 3 3" xfId="911" xr:uid="{00000000-0005-0000-0000-000087030000}"/>
    <cellStyle name="계산 3 4" xfId="912" xr:uid="{00000000-0005-0000-0000-000088030000}"/>
    <cellStyle name="계산 3 5" xfId="913" xr:uid="{00000000-0005-0000-0000-000089030000}"/>
    <cellStyle name="계산 3 6" xfId="914" xr:uid="{00000000-0005-0000-0000-00008A030000}"/>
    <cellStyle name="계산 4" xfId="915" xr:uid="{00000000-0005-0000-0000-00008B030000}"/>
    <cellStyle name="계산 4 2" xfId="916" xr:uid="{00000000-0005-0000-0000-00008C030000}"/>
    <cellStyle name="계산 4 3" xfId="917" xr:uid="{00000000-0005-0000-0000-00008D030000}"/>
    <cellStyle name="계산 4 4" xfId="918" xr:uid="{00000000-0005-0000-0000-00008E030000}"/>
    <cellStyle name="계산 4 5" xfId="919" xr:uid="{00000000-0005-0000-0000-00008F030000}"/>
    <cellStyle name="계산 4 6" xfId="920" xr:uid="{00000000-0005-0000-0000-000090030000}"/>
    <cellStyle name="계산 5" xfId="921" xr:uid="{00000000-0005-0000-0000-000091030000}"/>
    <cellStyle name="계산 5 2" xfId="922" xr:uid="{00000000-0005-0000-0000-000092030000}"/>
    <cellStyle name="계산 5 3" xfId="923" xr:uid="{00000000-0005-0000-0000-000093030000}"/>
    <cellStyle name="계산 5 4" xfId="924" xr:uid="{00000000-0005-0000-0000-000094030000}"/>
    <cellStyle name="계산 5 5" xfId="925" xr:uid="{00000000-0005-0000-0000-000095030000}"/>
    <cellStyle name="계산 5 6" xfId="926" xr:uid="{00000000-0005-0000-0000-000096030000}"/>
    <cellStyle name="나쁨 2" xfId="927" xr:uid="{00000000-0005-0000-0000-000097030000}"/>
    <cellStyle name="나쁨 2 2" xfId="928" xr:uid="{00000000-0005-0000-0000-000098030000}"/>
    <cellStyle name="나쁨 2 3" xfId="929" xr:uid="{00000000-0005-0000-0000-000099030000}"/>
    <cellStyle name="나쁨 2 4" xfId="930" xr:uid="{00000000-0005-0000-0000-00009A030000}"/>
    <cellStyle name="나쁨 2 5" xfId="931" xr:uid="{00000000-0005-0000-0000-00009B030000}"/>
    <cellStyle name="나쁨 2 6" xfId="932" xr:uid="{00000000-0005-0000-0000-00009C030000}"/>
    <cellStyle name="나쁨 3" xfId="933" xr:uid="{00000000-0005-0000-0000-00009D030000}"/>
    <cellStyle name="나쁨 3 2" xfId="934" xr:uid="{00000000-0005-0000-0000-00009E030000}"/>
    <cellStyle name="나쁨 3 3" xfId="935" xr:uid="{00000000-0005-0000-0000-00009F030000}"/>
    <cellStyle name="나쁨 3 4" xfId="936" xr:uid="{00000000-0005-0000-0000-0000A0030000}"/>
    <cellStyle name="나쁨 3 5" xfId="937" xr:uid="{00000000-0005-0000-0000-0000A1030000}"/>
    <cellStyle name="나쁨 3 6" xfId="938" xr:uid="{00000000-0005-0000-0000-0000A2030000}"/>
    <cellStyle name="나쁨 4" xfId="939" xr:uid="{00000000-0005-0000-0000-0000A3030000}"/>
    <cellStyle name="나쁨 4 2" xfId="940" xr:uid="{00000000-0005-0000-0000-0000A4030000}"/>
    <cellStyle name="나쁨 4 3" xfId="941" xr:uid="{00000000-0005-0000-0000-0000A5030000}"/>
    <cellStyle name="나쁨 4 4" xfId="942" xr:uid="{00000000-0005-0000-0000-0000A6030000}"/>
    <cellStyle name="나쁨 4 5" xfId="943" xr:uid="{00000000-0005-0000-0000-0000A7030000}"/>
    <cellStyle name="나쁨 4 6" xfId="944" xr:uid="{00000000-0005-0000-0000-0000A8030000}"/>
    <cellStyle name="나쁨 5" xfId="945" xr:uid="{00000000-0005-0000-0000-0000A9030000}"/>
    <cellStyle name="나쁨 5 2" xfId="946" xr:uid="{00000000-0005-0000-0000-0000AA030000}"/>
    <cellStyle name="나쁨 5 3" xfId="947" xr:uid="{00000000-0005-0000-0000-0000AB030000}"/>
    <cellStyle name="나쁨 5 4" xfId="948" xr:uid="{00000000-0005-0000-0000-0000AC030000}"/>
    <cellStyle name="나쁨 5 5" xfId="949" xr:uid="{00000000-0005-0000-0000-0000AD030000}"/>
    <cellStyle name="나쁨 5 6" xfId="950" xr:uid="{00000000-0005-0000-0000-0000AE030000}"/>
    <cellStyle name="메모 2" xfId="951" xr:uid="{00000000-0005-0000-0000-0000AF030000}"/>
    <cellStyle name="메모 2 2" xfId="952" xr:uid="{00000000-0005-0000-0000-0000B0030000}"/>
    <cellStyle name="메모 2 3" xfId="953" xr:uid="{00000000-0005-0000-0000-0000B1030000}"/>
    <cellStyle name="메모 2 4" xfId="954" xr:uid="{00000000-0005-0000-0000-0000B2030000}"/>
    <cellStyle name="메모 2 5" xfId="955" xr:uid="{00000000-0005-0000-0000-0000B3030000}"/>
    <cellStyle name="메모 2 6" xfId="956" xr:uid="{00000000-0005-0000-0000-0000B4030000}"/>
    <cellStyle name="메모 3" xfId="957" xr:uid="{00000000-0005-0000-0000-0000B5030000}"/>
    <cellStyle name="메모 3 2" xfId="958" xr:uid="{00000000-0005-0000-0000-0000B6030000}"/>
    <cellStyle name="메모 3 3" xfId="959" xr:uid="{00000000-0005-0000-0000-0000B7030000}"/>
    <cellStyle name="메모 3 4" xfId="960" xr:uid="{00000000-0005-0000-0000-0000B8030000}"/>
    <cellStyle name="메모 3 5" xfId="961" xr:uid="{00000000-0005-0000-0000-0000B9030000}"/>
    <cellStyle name="메모 3 6" xfId="962" xr:uid="{00000000-0005-0000-0000-0000BA030000}"/>
    <cellStyle name="메모 4" xfId="963" xr:uid="{00000000-0005-0000-0000-0000BB030000}"/>
    <cellStyle name="메모 4 2" xfId="964" xr:uid="{00000000-0005-0000-0000-0000BC030000}"/>
    <cellStyle name="메모 4 3" xfId="965" xr:uid="{00000000-0005-0000-0000-0000BD030000}"/>
    <cellStyle name="메모 4 4" xfId="966" xr:uid="{00000000-0005-0000-0000-0000BE030000}"/>
    <cellStyle name="메모 4 5" xfId="967" xr:uid="{00000000-0005-0000-0000-0000BF030000}"/>
    <cellStyle name="메모 4 6" xfId="968" xr:uid="{00000000-0005-0000-0000-0000C0030000}"/>
    <cellStyle name="메모 5" xfId="969" xr:uid="{00000000-0005-0000-0000-0000C1030000}"/>
    <cellStyle name="메모 5 2" xfId="970" xr:uid="{00000000-0005-0000-0000-0000C2030000}"/>
    <cellStyle name="메모 5 3" xfId="971" xr:uid="{00000000-0005-0000-0000-0000C3030000}"/>
    <cellStyle name="메모 5 4" xfId="972" xr:uid="{00000000-0005-0000-0000-0000C4030000}"/>
    <cellStyle name="메모 5 5" xfId="973" xr:uid="{00000000-0005-0000-0000-0000C5030000}"/>
    <cellStyle name="메모 5 6" xfId="974" xr:uid="{00000000-0005-0000-0000-0000C6030000}"/>
    <cellStyle name="백분율 2" xfId="7" xr:uid="{00000000-0005-0000-0000-0000C7030000}"/>
    <cellStyle name="백분율 2 2" xfId="975" xr:uid="{00000000-0005-0000-0000-0000C8030000}"/>
    <cellStyle name="백분율 3" xfId="976" xr:uid="{00000000-0005-0000-0000-0000C9030000}"/>
    <cellStyle name="백분율 4" xfId="977" xr:uid="{00000000-0005-0000-0000-0000CA030000}"/>
    <cellStyle name="보통 2" xfId="978" xr:uid="{00000000-0005-0000-0000-0000CB030000}"/>
    <cellStyle name="보통 2 2" xfId="979" xr:uid="{00000000-0005-0000-0000-0000CC030000}"/>
    <cellStyle name="보통 2 3" xfId="980" xr:uid="{00000000-0005-0000-0000-0000CD030000}"/>
    <cellStyle name="보통 2 4" xfId="981" xr:uid="{00000000-0005-0000-0000-0000CE030000}"/>
    <cellStyle name="보통 2 5" xfId="982" xr:uid="{00000000-0005-0000-0000-0000CF030000}"/>
    <cellStyle name="보통 2 6" xfId="983" xr:uid="{00000000-0005-0000-0000-0000D0030000}"/>
    <cellStyle name="보통 3" xfId="984" xr:uid="{00000000-0005-0000-0000-0000D1030000}"/>
    <cellStyle name="보통 3 2" xfId="985" xr:uid="{00000000-0005-0000-0000-0000D2030000}"/>
    <cellStyle name="보통 3 3" xfId="986" xr:uid="{00000000-0005-0000-0000-0000D3030000}"/>
    <cellStyle name="보통 3 4" xfId="987" xr:uid="{00000000-0005-0000-0000-0000D4030000}"/>
    <cellStyle name="보통 3 5" xfId="988" xr:uid="{00000000-0005-0000-0000-0000D5030000}"/>
    <cellStyle name="보통 3 6" xfId="989" xr:uid="{00000000-0005-0000-0000-0000D6030000}"/>
    <cellStyle name="보통 4" xfId="990" xr:uid="{00000000-0005-0000-0000-0000D7030000}"/>
    <cellStyle name="보통 4 2" xfId="991" xr:uid="{00000000-0005-0000-0000-0000D8030000}"/>
    <cellStyle name="보통 4 3" xfId="992" xr:uid="{00000000-0005-0000-0000-0000D9030000}"/>
    <cellStyle name="보통 4 4" xfId="993" xr:uid="{00000000-0005-0000-0000-0000DA030000}"/>
    <cellStyle name="보통 4 5" xfId="994" xr:uid="{00000000-0005-0000-0000-0000DB030000}"/>
    <cellStyle name="보통 4 6" xfId="995" xr:uid="{00000000-0005-0000-0000-0000DC030000}"/>
    <cellStyle name="보통 5" xfId="996" xr:uid="{00000000-0005-0000-0000-0000DD030000}"/>
    <cellStyle name="보통 5 2" xfId="997" xr:uid="{00000000-0005-0000-0000-0000DE030000}"/>
    <cellStyle name="보통 5 3" xfId="998" xr:uid="{00000000-0005-0000-0000-0000DF030000}"/>
    <cellStyle name="보통 5 4" xfId="999" xr:uid="{00000000-0005-0000-0000-0000E0030000}"/>
    <cellStyle name="보통 5 5" xfId="1000" xr:uid="{00000000-0005-0000-0000-0000E1030000}"/>
    <cellStyle name="보통 5 6" xfId="1001" xr:uid="{00000000-0005-0000-0000-0000E2030000}"/>
    <cellStyle name="설명 텍스트 2" xfId="1002" xr:uid="{00000000-0005-0000-0000-0000E3030000}"/>
    <cellStyle name="설명 텍스트 2 2" xfId="1003" xr:uid="{00000000-0005-0000-0000-0000E4030000}"/>
    <cellStyle name="설명 텍스트 2 3" xfId="1004" xr:uid="{00000000-0005-0000-0000-0000E5030000}"/>
    <cellStyle name="설명 텍스트 2 3 2" xfId="1466" xr:uid="{00000000-0005-0000-0000-0000E6030000}"/>
    <cellStyle name="설명 텍스트 2 4" xfId="1005" xr:uid="{00000000-0005-0000-0000-0000E7030000}"/>
    <cellStyle name="설명 텍스트 2 5" xfId="1006" xr:uid="{00000000-0005-0000-0000-0000E8030000}"/>
    <cellStyle name="설명 텍스트 2 6" xfId="1007" xr:uid="{00000000-0005-0000-0000-0000E9030000}"/>
    <cellStyle name="설명 텍스트 3" xfId="1008" xr:uid="{00000000-0005-0000-0000-0000EA030000}"/>
    <cellStyle name="설명 텍스트 3 2" xfId="1009" xr:uid="{00000000-0005-0000-0000-0000EB030000}"/>
    <cellStyle name="설명 텍스트 3 3" xfId="1010" xr:uid="{00000000-0005-0000-0000-0000EC030000}"/>
    <cellStyle name="설명 텍스트 3 4" xfId="1011" xr:uid="{00000000-0005-0000-0000-0000ED030000}"/>
    <cellStyle name="설명 텍스트 3 5" xfId="1012" xr:uid="{00000000-0005-0000-0000-0000EE030000}"/>
    <cellStyle name="설명 텍스트 3 6" xfId="1013" xr:uid="{00000000-0005-0000-0000-0000EF030000}"/>
    <cellStyle name="설명 텍스트 4" xfId="1014" xr:uid="{00000000-0005-0000-0000-0000F0030000}"/>
    <cellStyle name="설명 텍스트 4 2" xfId="1015" xr:uid="{00000000-0005-0000-0000-0000F1030000}"/>
    <cellStyle name="설명 텍스트 4 3" xfId="1016" xr:uid="{00000000-0005-0000-0000-0000F2030000}"/>
    <cellStyle name="설명 텍스트 4 4" xfId="1017" xr:uid="{00000000-0005-0000-0000-0000F3030000}"/>
    <cellStyle name="설명 텍스트 4 5" xfId="1018" xr:uid="{00000000-0005-0000-0000-0000F4030000}"/>
    <cellStyle name="설명 텍스트 4 6" xfId="1019" xr:uid="{00000000-0005-0000-0000-0000F5030000}"/>
    <cellStyle name="설명 텍스트 5" xfId="1020" xr:uid="{00000000-0005-0000-0000-0000F6030000}"/>
    <cellStyle name="설명 텍스트 5 2" xfId="1021" xr:uid="{00000000-0005-0000-0000-0000F7030000}"/>
    <cellStyle name="설명 텍스트 5 3" xfId="1022" xr:uid="{00000000-0005-0000-0000-0000F8030000}"/>
    <cellStyle name="설명 텍스트 5 4" xfId="1023" xr:uid="{00000000-0005-0000-0000-0000F9030000}"/>
    <cellStyle name="설명 텍스트 5 5" xfId="1024" xr:uid="{00000000-0005-0000-0000-0000FA030000}"/>
    <cellStyle name="설명 텍스트 5 6" xfId="1025" xr:uid="{00000000-0005-0000-0000-0000FB030000}"/>
    <cellStyle name="셀 확인 2" xfId="1026" xr:uid="{00000000-0005-0000-0000-0000FC030000}"/>
    <cellStyle name="셀 확인 2 2" xfId="1027" xr:uid="{00000000-0005-0000-0000-0000FD030000}"/>
    <cellStyle name="셀 확인 2 3" xfId="1028" xr:uid="{00000000-0005-0000-0000-0000FE030000}"/>
    <cellStyle name="셀 확인 2 4" xfId="1029" xr:uid="{00000000-0005-0000-0000-0000FF030000}"/>
    <cellStyle name="셀 확인 2 5" xfId="1030" xr:uid="{00000000-0005-0000-0000-000000040000}"/>
    <cellStyle name="셀 확인 2 6" xfId="1031" xr:uid="{00000000-0005-0000-0000-000001040000}"/>
    <cellStyle name="셀 확인 3" xfId="1032" xr:uid="{00000000-0005-0000-0000-000002040000}"/>
    <cellStyle name="셀 확인 3 2" xfId="1033" xr:uid="{00000000-0005-0000-0000-000003040000}"/>
    <cellStyle name="셀 확인 3 3" xfId="1034" xr:uid="{00000000-0005-0000-0000-000004040000}"/>
    <cellStyle name="셀 확인 3 4" xfId="1035" xr:uid="{00000000-0005-0000-0000-000005040000}"/>
    <cellStyle name="셀 확인 3 5" xfId="1036" xr:uid="{00000000-0005-0000-0000-000006040000}"/>
    <cellStyle name="셀 확인 3 6" xfId="1037" xr:uid="{00000000-0005-0000-0000-000007040000}"/>
    <cellStyle name="셀 확인 4" xfId="1038" xr:uid="{00000000-0005-0000-0000-000008040000}"/>
    <cellStyle name="셀 확인 4 2" xfId="1039" xr:uid="{00000000-0005-0000-0000-000009040000}"/>
    <cellStyle name="셀 확인 4 3" xfId="1040" xr:uid="{00000000-0005-0000-0000-00000A040000}"/>
    <cellStyle name="셀 확인 4 4" xfId="1041" xr:uid="{00000000-0005-0000-0000-00000B040000}"/>
    <cellStyle name="셀 확인 4 5" xfId="1042" xr:uid="{00000000-0005-0000-0000-00000C040000}"/>
    <cellStyle name="셀 확인 4 6" xfId="1043" xr:uid="{00000000-0005-0000-0000-00000D040000}"/>
    <cellStyle name="셀 확인 5" xfId="1044" xr:uid="{00000000-0005-0000-0000-00000E040000}"/>
    <cellStyle name="셀 확인 5 2" xfId="1045" xr:uid="{00000000-0005-0000-0000-00000F040000}"/>
    <cellStyle name="셀 확인 5 3" xfId="1046" xr:uid="{00000000-0005-0000-0000-000010040000}"/>
    <cellStyle name="셀 확인 5 4" xfId="1047" xr:uid="{00000000-0005-0000-0000-000011040000}"/>
    <cellStyle name="셀 확인 5 5" xfId="1048" xr:uid="{00000000-0005-0000-0000-000012040000}"/>
    <cellStyle name="셀 확인 5 6" xfId="1049" xr:uid="{00000000-0005-0000-0000-000013040000}"/>
    <cellStyle name="쉼표 [0] 2" xfId="1050" xr:uid="{00000000-0005-0000-0000-000014040000}"/>
    <cellStyle name="쉼표 [0] 3" xfId="1051" xr:uid="{00000000-0005-0000-0000-000015040000}"/>
    <cellStyle name="쉼표 [0] 4" xfId="1052" xr:uid="{00000000-0005-0000-0000-000016040000}"/>
    <cellStyle name="스타일 1" xfId="1053" xr:uid="{00000000-0005-0000-0000-000017040000}"/>
    <cellStyle name="스타일 1 2" xfId="1054" xr:uid="{00000000-0005-0000-0000-000018040000}"/>
    <cellStyle name="스타일 1 3" xfId="1055" xr:uid="{00000000-0005-0000-0000-000019040000}"/>
    <cellStyle name="연결된 셀 2" xfId="1056" xr:uid="{00000000-0005-0000-0000-00001A040000}"/>
    <cellStyle name="연결된 셀 2 2" xfId="1057" xr:uid="{00000000-0005-0000-0000-00001B040000}"/>
    <cellStyle name="연결된 셀 2 3" xfId="1058" xr:uid="{00000000-0005-0000-0000-00001C040000}"/>
    <cellStyle name="연결된 셀 2 4" xfId="1059" xr:uid="{00000000-0005-0000-0000-00001D040000}"/>
    <cellStyle name="연결된 셀 2 5" xfId="1060" xr:uid="{00000000-0005-0000-0000-00001E040000}"/>
    <cellStyle name="연결된 셀 2 6" xfId="1061" xr:uid="{00000000-0005-0000-0000-00001F040000}"/>
    <cellStyle name="연결된 셀 3" xfId="1062" xr:uid="{00000000-0005-0000-0000-000020040000}"/>
    <cellStyle name="연결된 셀 3 2" xfId="1063" xr:uid="{00000000-0005-0000-0000-000021040000}"/>
    <cellStyle name="연결된 셀 3 3" xfId="1064" xr:uid="{00000000-0005-0000-0000-000022040000}"/>
    <cellStyle name="연결된 셀 3 4" xfId="1065" xr:uid="{00000000-0005-0000-0000-000023040000}"/>
    <cellStyle name="연결된 셀 3 5" xfId="1066" xr:uid="{00000000-0005-0000-0000-000024040000}"/>
    <cellStyle name="연결된 셀 3 6" xfId="1067" xr:uid="{00000000-0005-0000-0000-000025040000}"/>
    <cellStyle name="연결된 셀 4" xfId="1068" xr:uid="{00000000-0005-0000-0000-000026040000}"/>
    <cellStyle name="연결된 셀 4 2" xfId="1069" xr:uid="{00000000-0005-0000-0000-000027040000}"/>
    <cellStyle name="연결된 셀 4 3" xfId="1070" xr:uid="{00000000-0005-0000-0000-000028040000}"/>
    <cellStyle name="연결된 셀 4 4" xfId="1071" xr:uid="{00000000-0005-0000-0000-000029040000}"/>
    <cellStyle name="연결된 셀 4 5" xfId="1072" xr:uid="{00000000-0005-0000-0000-00002A040000}"/>
    <cellStyle name="연결된 셀 4 6" xfId="1073" xr:uid="{00000000-0005-0000-0000-00002B040000}"/>
    <cellStyle name="연결된 셀 5" xfId="1074" xr:uid="{00000000-0005-0000-0000-00002C040000}"/>
    <cellStyle name="연결된 셀 5 2" xfId="1075" xr:uid="{00000000-0005-0000-0000-00002D040000}"/>
    <cellStyle name="연결된 셀 5 3" xfId="1076" xr:uid="{00000000-0005-0000-0000-00002E040000}"/>
    <cellStyle name="연결된 셀 5 4" xfId="1077" xr:uid="{00000000-0005-0000-0000-00002F040000}"/>
    <cellStyle name="연결된 셀 5 5" xfId="1078" xr:uid="{00000000-0005-0000-0000-000030040000}"/>
    <cellStyle name="연결된 셀 5 6" xfId="1079" xr:uid="{00000000-0005-0000-0000-000031040000}"/>
    <cellStyle name="요약 2" xfId="1080" xr:uid="{00000000-0005-0000-0000-000032040000}"/>
    <cellStyle name="요약 2 2" xfId="1081" xr:uid="{00000000-0005-0000-0000-000033040000}"/>
    <cellStyle name="요약 2 3" xfId="1082" xr:uid="{00000000-0005-0000-0000-000034040000}"/>
    <cellStyle name="요약 2 4" xfId="1083" xr:uid="{00000000-0005-0000-0000-000035040000}"/>
    <cellStyle name="요약 2 5" xfId="1084" xr:uid="{00000000-0005-0000-0000-000036040000}"/>
    <cellStyle name="요약 2 6" xfId="1085" xr:uid="{00000000-0005-0000-0000-000037040000}"/>
    <cellStyle name="요약 3" xfId="1086" xr:uid="{00000000-0005-0000-0000-000038040000}"/>
    <cellStyle name="요약 3 2" xfId="1087" xr:uid="{00000000-0005-0000-0000-000039040000}"/>
    <cellStyle name="요약 3 3" xfId="1088" xr:uid="{00000000-0005-0000-0000-00003A040000}"/>
    <cellStyle name="요약 3 4" xfId="1089" xr:uid="{00000000-0005-0000-0000-00003B040000}"/>
    <cellStyle name="요약 3 5" xfId="1090" xr:uid="{00000000-0005-0000-0000-00003C040000}"/>
    <cellStyle name="요약 3 6" xfId="1091" xr:uid="{00000000-0005-0000-0000-00003D040000}"/>
    <cellStyle name="요약 4" xfId="1092" xr:uid="{00000000-0005-0000-0000-00003E040000}"/>
    <cellStyle name="요약 4 2" xfId="1093" xr:uid="{00000000-0005-0000-0000-00003F040000}"/>
    <cellStyle name="요약 4 3" xfId="1094" xr:uid="{00000000-0005-0000-0000-000040040000}"/>
    <cellStyle name="요약 4 4" xfId="1095" xr:uid="{00000000-0005-0000-0000-000041040000}"/>
    <cellStyle name="요약 4 5" xfId="1096" xr:uid="{00000000-0005-0000-0000-000042040000}"/>
    <cellStyle name="요약 4 6" xfId="1097" xr:uid="{00000000-0005-0000-0000-000043040000}"/>
    <cellStyle name="요약 5" xfId="1098" xr:uid="{00000000-0005-0000-0000-000044040000}"/>
    <cellStyle name="요약 5 2" xfId="1099" xr:uid="{00000000-0005-0000-0000-000045040000}"/>
    <cellStyle name="요약 5 3" xfId="1100" xr:uid="{00000000-0005-0000-0000-000046040000}"/>
    <cellStyle name="요약 5 4" xfId="1101" xr:uid="{00000000-0005-0000-0000-000047040000}"/>
    <cellStyle name="요약 5 5" xfId="1102" xr:uid="{00000000-0005-0000-0000-000048040000}"/>
    <cellStyle name="요약 5 6" xfId="1103" xr:uid="{00000000-0005-0000-0000-000049040000}"/>
    <cellStyle name="입력 2" xfId="1104" xr:uid="{00000000-0005-0000-0000-00004A040000}"/>
    <cellStyle name="입력 2 2" xfId="1105" xr:uid="{00000000-0005-0000-0000-00004B040000}"/>
    <cellStyle name="입력 2 3" xfId="1106" xr:uid="{00000000-0005-0000-0000-00004C040000}"/>
    <cellStyle name="입력 2 4" xfId="1107" xr:uid="{00000000-0005-0000-0000-00004D040000}"/>
    <cellStyle name="입력 2 5" xfId="1108" xr:uid="{00000000-0005-0000-0000-00004E040000}"/>
    <cellStyle name="입력 2 6" xfId="1109" xr:uid="{00000000-0005-0000-0000-00004F040000}"/>
    <cellStyle name="입력 3" xfId="1110" xr:uid="{00000000-0005-0000-0000-000050040000}"/>
    <cellStyle name="입력 3 2" xfId="1111" xr:uid="{00000000-0005-0000-0000-000051040000}"/>
    <cellStyle name="입력 3 3" xfId="1112" xr:uid="{00000000-0005-0000-0000-000052040000}"/>
    <cellStyle name="입력 3 4" xfId="1113" xr:uid="{00000000-0005-0000-0000-000053040000}"/>
    <cellStyle name="입력 3 5" xfId="1114" xr:uid="{00000000-0005-0000-0000-000054040000}"/>
    <cellStyle name="입력 3 6" xfId="1115" xr:uid="{00000000-0005-0000-0000-000055040000}"/>
    <cellStyle name="입력 4" xfId="1116" xr:uid="{00000000-0005-0000-0000-000056040000}"/>
    <cellStyle name="입력 4 2" xfId="1117" xr:uid="{00000000-0005-0000-0000-000057040000}"/>
    <cellStyle name="입력 4 3" xfId="1118" xr:uid="{00000000-0005-0000-0000-000058040000}"/>
    <cellStyle name="입력 4 4" xfId="1119" xr:uid="{00000000-0005-0000-0000-000059040000}"/>
    <cellStyle name="입력 4 5" xfId="1120" xr:uid="{00000000-0005-0000-0000-00005A040000}"/>
    <cellStyle name="입력 4 6" xfId="1121" xr:uid="{00000000-0005-0000-0000-00005B040000}"/>
    <cellStyle name="입력 5" xfId="1122" xr:uid="{00000000-0005-0000-0000-00005C040000}"/>
    <cellStyle name="입력 5 2" xfId="1123" xr:uid="{00000000-0005-0000-0000-00005D040000}"/>
    <cellStyle name="입력 5 3" xfId="1124" xr:uid="{00000000-0005-0000-0000-00005E040000}"/>
    <cellStyle name="입력 5 4" xfId="1125" xr:uid="{00000000-0005-0000-0000-00005F040000}"/>
    <cellStyle name="입력 5 5" xfId="1126" xr:uid="{00000000-0005-0000-0000-000060040000}"/>
    <cellStyle name="입력 5 6" xfId="1127" xr:uid="{00000000-0005-0000-0000-000061040000}"/>
    <cellStyle name="제목 1 2" xfId="1128" xr:uid="{00000000-0005-0000-0000-000062040000}"/>
    <cellStyle name="제목 1 2 2" xfId="1129" xr:uid="{00000000-0005-0000-0000-000063040000}"/>
    <cellStyle name="제목 1 2 3" xfId="1130" xr:uid="{00000000-0005-0000-0000-000064040000}"/>
    <cellStyle name="제목 1 2 4" xfId="1131" xr:uid="{00000000-0005-0000-0000-000065040000}"/>
    <cellStyle name="제목 1 2 5" xfId="1132" xr:uid="{00000000-0005-0000-0000-000066040000}"/>
    <cellStyle name="제목 1 2 6" xfId="1133" xr:uid="{00000000-0005-0000-0000-000067040000}"/>
    <cellStyle name="제목 1 3" xfId="1134" xr:uid="{00000000-0005-0000-0000-000068040000}"/>
    <cellStyle name="제목 1 3 2" xfId="1135" xr:uid="{00000000-0005-0000-0000-000069040000}"/>
    <cellStyle name="제목 1 3 3" xfId="1136" xr:uid="{00000000-0005-0000-0000-00006A040000}"/>
    <cellStyle name="제목 1 3 4" xfId="1137" xr:uid="{00000000-0005-0000-0000-00006B040000}"/>
    <cellStyle name="제목 1 3 5" xfId="1138" xr:uid="{00000000-0005-0000-0000-00006C040000}"/>
    <cellStyle name="제목 1 3 6" xfId="1139" xr:uid="{00000000-0005-0000-0000-00006D040000}"/>
    <cellStyle name="제목 1 4" xfId="1140" xr:uid="{00000000-0005-0000-0000-00006E040000}"/>
    <cellStyle name="제목 1 4 2" xfId="1141" xr:uid="{00000000-0005-0000-0000-00006F040000}"/>
    <cellStyle name="제목 1 4 3" xfId="1142" xr:uid="{00000000-0005-0000-0000-000070040000}"/>
    <cellStyle name="제목 1 4 4" xfId="1143" xr:uid="{00000000-0005-0000-0000-000071040000}"/>
    <cellStyle name="제목 1 4 5" xfId="1144" xr:uid="{00000000-0005-0000-0000-000072040000}"/>
    <cellStyle name="제목 1 4 6" xfId="1145" xr:uid="{00000000-0005-0000-0000-000073040000}"/>
    <cellStyle name="제목 1 5" xfId="1146" xr:uid="{00000000-0005-0000-0000-000074040000}"/>
    <cellStyle name="제목 1 5 2" xfId="1147" xr:uid="{00000000-0005-0000-0000-000075040000}"/>
    <cellStyle name="제목 1 5 3" xfId="1148" xr:uid="{00000000-0005-0000-0000-000076040000}"/>
    <cellStyle name="제목 1 5 4" xfId="1149" xr:uid="{00000000-0005-0000-0000-000077040000}"/>
    <cellStyle name="제목 1 5 5" xfId="1150" xr:uid="{00000000-0005-0000-0000-000078040000}"/>
    <cellStyle name="제목 1 5 6" xfId="1151" xr:uid="{00000000-0005-0000-0000-000079040000}"/>
    <cellStyle name="제목 2 2" xfId="1152" xr:uid="{00000000-0005-0000-0000-00007A040000}"/>
    <cellStyle name="제목 2 2 2" xfId="1153" xr:uid="{00000000-0005-0000-0000-00007B040000}"/>
    <cellStyle name="제목 2 2 3" xfId="1154" xr:uid="{00000000-0005-0000-0000-00007C040000}"/>
    <cellStyle name="제목 2 2 4" xfId="1155" xr:uid="{00000000-0005-0000-0000-00007D040000}"/>
    <cellStyle name="제목 2 2 5" xfId="1156" xr:uid="{00000000-0005-0000-0000-00007E040000}"/>
    <cellStyle name="제목 2 2 6" xfId="1157" xr:uid="{00000000-0005-0000-0000-00007F040000}"/>
    <cellStyle name="제목 2 3" xfId="1158" xr:uid="{00000000-0005-0000-0000-000080040000}"/>
    <cellStyle name="제목 2 3 2" xfId="1159" xr:uid="{00000000-0005-0000-0000-000081040000}"/>
    <cellStyle name="제목 2 3 3" xfId="1160" xr:uid="{00000000-0005-0000-0000-000082040000}"/>
    <cellStyle name="제목 2 3 4" xfId="1161" xr:uid="{00000000-0005-0000-0000-000083040000}"/>
    <cellStyle name="제목 2 3 5" xfId="1162" xr:uid="{00000000-0005-0000-0000-000084040000}"/>
    <cellStyle name="제목 2 3 6" xfId="1163" xr:uid="{00000000-0005-0000-0000-000085040000}"/>
    <cellStyle name="제목 2 4" xfId="1164" xr:uid="{00000000-0005-0000-0000-000086040000}"/>
    <cellStyle name="제목 2 4 2" xfId="1165" xr:uid="{00000000-0005-0000-0000-000087040000}"/>
    <cellStyle name="제목 2 4 3" xfId="1166" xr:uid="{00000000-0005-0000-0000-000088040000}"/>
    <cellStyle name="제목 2 4 4" xfId="1167" xr:uid="{00000000-0005-0000-0000-000089040000}"/>
    <cellStyle name="제목 2 4 5" xfId="1168" xr:uid="{00000000-0005-0000-0000-00008A040000}"/>
    <cellStyle name="제목 2 4 6" xfId="1169" xr:uid="{00000000-0005-0000-0000-00008B040000}"/>
    <cellStyle name="제목 2 5" xfId="1170" xr:uid="{00000000-0005-0000-0000-00008C040000}"/>
    <cellStyle name="제목 2 5 2" xfId="1171" xr:uid="{00000000-0005-0000-0000-00008D040000}"/>
    <cellStyle name="제목 2 5 3" xfId="1172" xr:uid="{00000000-0005-0000-0000-00008E040000}"/>
    <cellStyle name="제목 2 5 4" xfId="1173" xr:uid="{00000000-0005-0000-0000-00008F040000}"/>
    <cellStyle name="제목 2 5 5" xfId="1174" xr:uid="{00000000-0005-0000-0000-000090040000}"/>
    <cellStyle name="제목 2 5 6" xfId="1175" xr:uid="{00000000-0005-0000-0000-000091040000}"/>
    <cellStyle name="제목 3 2" xfId="1176" xr:uid="{00000000-0005-0000-0000-000092040000}"/>
    <cellStyle name="제목 3 2 2" xfId="1177" xr:uid="{00000000-0005-0000-0000-000093040000}"/>
    <cellStyle name="제목 3 2 3" xfId="1178" xr:uid="{00000000-0005-0000-0000-000094040000}"/>
    <cellStyle name="제목 3 2 4" xfId="1179" xr:uid="{00000000-0005-0000-0000-000095040000}"/>
    <cellStyle name="제목 3 2 5" xfId="1180" xr:uid="{00000000-0005-0000-0000-000096040000}"/>
    <cellStyle name="제목 3 2 6" xfId="1181" xr:uid="{00000000-0005-0000-0000-000097040000}"/>
    <cellStyle name="제목 3 3" xfId="1182" xr:uid="{00000000-0005-0000-0000-000098040000}"/>
    <cellStyle name="제목 3 3 2" xfId="1183" xr:uid="{00000000-0005-0000-0000-000099040000}"/>
    <cellStyle name="제목 3 3 3" xfId="1184" xr:uid="{00000000-0005-0000-0000-00009A040000}"/>
    <cellStyle name="제목 3 3 4" xfId="1185" xr:uid="{00000000-0005-0000-0000-00009B040000}"/>
    <cellStyle name="제목 3 3 5" xfId="1186" xr:uid="{00000000-0005-0000-0000-00009C040000}"/>
    <cellStyle name="제목 3 3 6" xfId="1187" xr:uid="{00000000-0005-0000-0000-00009D040000}"/>
    <cellStyle name="제목 3 4" xfId="1188" xr:uid="{00000000-0005-0000-0000-00009E040000}"/>
    <cellStyle name="제목 3 4 2" xfId="1189" xr:uid="{00000000-0005-0000-0000-00009F040000}"/>
    <cellStyle name="제목 3 4 3" xfId="1190" xr:uid="{00000000-0005-0000-0000-0000A0040000}"/>
    <cellStyle name="제목 3 4 4" xfId="1191" xr:uid="{00000000-0005-0000-0000-0000A1040000}"/>
    <cellStyle name="제목 3 4 5" xfId="1192" xr:uid="{00000000-0005-0000-0000-0000A2040000}"/>
    <cellStyle name="제목 3 4 6" xfId="1193" xr:uid="{00000000-0005-0000-0000-0000A3040000}"/>
    <cellStyle name="제목 3 5" xfId="1194" xr:uid="{00000000-0005-0000-0000-0000A4040000}"/>
    <cellStyle name="제목 3 5 2" xfId="1195" xr:uid="{00000000-0005-0000-0000-0000A5040000}"/>
    <cellStyle name="제목 3 5 3" xfId="1196" xr:uid="{00000000-0005-0000-0000-0000A6040000}"/>
    <cellStyle name="제목 3 5 4" xfId="1197" xr:uid="{00000000-0005-0000-0000-0000A7040000}"/>
    <cellStyle name="제목 3 5 5" xfId="1198" xr:uid="{00000000-0005-0000-0000-0000A8040000}"/>
    <cellStyle name="제목 3 5 6" xfId="1199" xr:uid="{00000000-0005-0000-0000-0000A9040000}"/>
    <cellStyle name="제목 4 2" xfId="1200" xr:uid="{00000000-0005-0000-0000-0000AA040000}"/>
    <cellStyle name="제목 4 2 2" xfId="1201" xr:uid="{00000000-0005-0000-0000-0000AB040000}"/>
    <cellStyle name="제목 4 2 3" xfId="1202" xr:uid="{00000000-0005-0000-0000-0000AC040000}"/>
    <cellStyle name="제목 4 2 4" xfId="1203" xr:uid="{00000000-0005-0000-0000-0000AD040000}"/>
    <cellStyle name="제목 4 2 5" xfId="1204" xr:uid="{00000000-0005-0000-0000-0000AE040000}"/>
    <cellStyle name="제목 4 2 6" xfId="1205" xr:uid="{00000000-0005-0000-0000-0000AF040000}"/>
    <cellStyle name="제목 4 3" xfId="1206" xr:uid="{00000000-0005-0000-0000-0000B0040000}"/>
    <cellStyle name="제목 4 3 2" xfId="1207" xr:uid="{00000000-0005-0000-0000-0000B1040000}"/>
    <cellStyle name="제목 4 3 3" xfId="1208" xr:uid="{00000000-0005-0000-0000-0000B2040000}"/>
    <cellStyle name="제목 4 3 4" xfId="1209" xr:uid="{00000000-0005-0000-0000-0000B3040000}"/>
    <cellStyle name="제목 4 3 5" xfId="1210" xr:uid="{00000000-0005-0000-0000-0000B4040000}"/>
    <cellStyle name="제목 4 3 6" xfId="1211" xr:uid="{00000000-0005-0000-0000-0000B5040000}"/>
    <cellStyle name="제목 4 4" xfId="1212" xr:uid="{00000000-0005-0000-0000-0000B6040000}"/>
    <cellStyle name="제목 4 4 2" xfId="1213" xr:uid="{00000000-0005-0000-0000-0000B7040000}"/>
    <cellStyle name="제목 4 4 3" xfId="1214" xr:uid="{00000000-0005-0000-0000-0000B8040000}"/>
    <cellStyle name="제목 4 4 4" xfId="1215" xr:uid="{00000000-0005-0000-0000-0000B9040000}"/>
    <cellStyle name="제목 4 4 5" xfId="1216" xr:uid="{00000000-0005-0000-0000-0000BA040000}"/>
    <cellStyle name="제목 4 4 6" xfId="1217" xr:uid="{00000000-0005-0000-0000-0000BB040000}"/>
    <cellStyle name="제목 4 5" xfId="1218" xr:uid="{00000000-0005-0000-0000-0000BC040000}"/>
    <cellStyle name="제목 4 5 2" xfId="1219" xr:uid="{00000000-0005-0000-0000-0000BD040000}"/>
    <cellStyle name="제목 4 5 3" xfId="1220" xr:uid="{00000000-0005-0000-0000-0000BE040000}"/>
    <cellStyle name="제목 4 5 4" xfId="1221" xr:uid="{00000000-0005-0000-0000-0000BF040000}"/>
    <cellStyle name="제목 4 5 5" xfId="1222" xr:uid="{00000000-0005-0000-0000-0000C0040000}"/>
    <cellStyle name="제목 4 5 6" xfId="1223" xr:uid="{00000000-0005-0000-0000-0000C1040000}"/>
    <cellStyle name="제목 5" xfId="1224" xr:uid="{00000000-0005-0000-0000-0000C2040000}"/>
    <cellStyle name="제목 5 2" xfId="1225" xr:uid="{00000000-0005-0000-0000-0000C3040000}"/>
    <cellStyle name="제목 5 3" xfId="1226" xr:uid="{00000000-0005-0000-0000-0000C4040000}"/>
    <cellStyle name="제목 5 4" xfId="1227" xr:uid="{00000000-0005-0000-0000-0000C5040000}"/>
    <cellStyle name="제목 5 5" xfId="1228" xr:uid="{00000000-0005-0000-0000-0000C6040000}"/>
    <cellStyle name="제목 5 6" xfId="1229" xr:uid="{00000000-0005-0000-0000-0000C7040000}"/>
    <cellStyle name="제목 6" xfId="1230" xr:uid="{00000000-0005-0000-0000-0000C8040000}"/>
    <cellStyle name="제목 6 2" xfId="1231" xr:uid="{00000000-0005-0000-0000-0000C9040000}"/>
    <cellStyle name="제목 6 3" xfId="1232" xr:uid="{00000000-0005-0000-0000-0000CA040000}"/>
    <cellStyle name="제목 6 4" xfId="1233" xr:uid="{00000000-0005-0000-0000-0000CB040000}"/>
    <cellStyle name="제목 6 5" xfId="1234" xr:uid="{00000000-0005-0000-0000-0000CC040000}"/>
    <cellStyle name="제목 6 6" xfId="1235" xr:uid="{00000000-0005-0000-0000-0000CD040000}"/>
    <cellStyle name="제목 7" xfId="1236" xr:uid="{00000000-0005-0000-0000-0000CE040000}"/>
    <cellStyle name="제목 7 2" xfId="1237" xr:uid="{00000000-0005-0000-0000-0000CF040000}"/>
    <cellStyle name="제목 7 3" xfId="1238" xr:uid="{00000000-0005-0000-0000-0000D0040000}"/>
    <cellStyle name="제목 7 4" xfId="1239" xr:uid="{00000000-0005-0000-0000-0000D1040000}"/>
    <cellStyle name="제목 7 5" xfId="1240" xr:uid="{00000000-0005-0000-0000-0000D2040000}"/>
    <cellStyle name="제목 7 6" xfId="1241" xr:uid="{00000000-0005-0000-0000-0000D3040000}"/>
    <cellStyle name="제목 8" xfId="1242" xr:uid="{00000000-0005-0000-0000-0000D4040000}"/>
    <cellStyle name="제목 8 2" xfId="1243" xr:uid="{00000000-0005-0000-0000-0000D5040000}"/>
    <cellStyle name="제목 8 3" xfId="1244" xr:uid="{00000000-0005-0000-0000-0000D6040000}"/>
    <cellStyle name="제목 8 4" xfId="1245" xr:uid="{00000000-0005-0000-0000-0000D7040000}"/>
    <cellStyle name="제목 8 5" xfId="1246" xr:uid="{00000000-0005-0000-0000-0000D8040000}"/>
    <cellStyle name="제목 8 6" xfId="1247" xr:uid="{00000000-0005-0000-0000-0000D9040000}"/>
    <cellStyle name="좋음 2" xfId="1248" xr:uid="{00000000-0005-0000-0000-0000DA040000}"/>
    <cellStyle name="좋음 2 2" xfId="1249" xr:uid="{00000000-0005-0000-0000-0000DB040000}"/>
    <cellStyle name="좋음 2 3" xfId="1250" xr:uid="{00000000-0005-0000-0000-0000DC040000}"/>
    <cellStyle name="좋음 2 4" xfId="1251" xr:uid="{00000000-0005-0000-0000-0000DD040000}"/>
    <cellStyle name="좋음 2 5" xfId="1252" xr:uid="{00000000-0005-0000-0000-0000DE040000}"/>
    <cellStyle name="좋음 2 6" xfId="1253" xr:uid="{00000000-0005-0000-0000-0000DF040000}"/>
    <cellStyle name="좋음 3" xfId="1254" xr:uid="{00000000-0005-0000-0000-0000E0040000}"/>
    <cellStyle name="좋음 3 2" xfId="1255" xr:uid="{00000000-0005-0000-0000-0000E1040000}"/>
    <cellStyle name="좋음 3 3" xfId="1256" xr:uid="{00000000-0005-0000-0000-0000E2040000}"/>
    <cellStyle name="좋음 3 4" xfId="1257" xr:uid="{00000000-0005-0000-0000-0000E3040000}"/>
    <cellStyle name="좋음 3 5" xfId="1258" xr:uid="{00000000-0005-0000-0000-0000E4040000}"/>
    <cellStyle name="좋음 3 6" xfId="1259" xr:uid="{00000000-0005-0000-0000-0000E5040000}"/>
    <cellStyle name="좋음 4" xfId="1260" xr:uid="{00000000-0005-0000-0000-0000E6040000}"/>
    <cellStyle name="좋음 4 2" xfId="1261" xr:uid="{00000000-0005-0000-0000-0000E7040000}"/>
    <cellStyle name="좋음 4 3" xfId="1262" xr:uid="{00000000-0005-0000-0000-0000E8040000}"/>
    <cellStyle name="좋음 4 4" xfId="1263" xr:uid="{00000000-0005-0000-0000-0000E9040000}"/>
    <cellStyle name="좋음 4 5" xfId="1264" xr:uid="{00000000-0005-0000-0000-0000EA040000}"/>
    <cellStyle name="좋음 4 6" xfId="1265" xr:uid="{00000000-0005-0000-0000-0000EB040000}"/>
    <cellStyle name="좋음 5" xfId="1266" xr:uid="{00000000-0005-0000-0000-0000EC040000}"/>
    <cellStyle name="좋음 5 2" xfId="1267" xr:uid="{00000000-0005-0000-0000-0000ED040000}"/>
    <cellStyle name="좋음 5 3" xfId="1268" xr:uid="{00000000-0005-0000-0000-0000EE040000}"/>
    <cellStyle name="좋음 5 4" xfId="1269" xr:uid="{00000000-0005-0000-0000-0000EF040000}"/>
    <cellStyle name="좋음 5 5" xfId="1270" xr:uid="{00000000-0005-0000-0000-0000F0040000}"/>
    <cellStyle name="좋음 5 6" xfId="1271" xr:uid="{00000000-0005-0000-0000-0000F1040000}"/>
    <cellStyle name="출력 2" xfId="1272" xr:uid="{00000000-0005-0000-0000-0000F2040000}"/>
    <cellStyle name="출력 2 2" xfId="1273" xr:uid="{00000000-0005-0000-0000-0000F3040000}"/>
    <cellStyle name="출력 2 3" xfId="1274" xr:uid="{00000000-0005-0000-0000-0000F4040000}"/>
    <cellStyle name="출력 2 4" xfId="1275" xr:uid="{00000000-0005-0000-0000-0000F5040000}"/>
    <cellStyle name="출력 2 5" xfId="1276" xr:uid="{00000000-0005-0000-0000-0000F6040000}"/>
    <cellStyle name="출력 2 6" xfId="1277" xr:uid="{00000000-0005-0000-0000-0000F7040000}"/>
    <cellStyle name="출력 3" xfId="1278" xr:uid="{00000000-0005-0000-0000-0000F8040000}"/>
    <cellStyle name="출력 3 2" xfId="1279" xr:uid="{00000000-0005-0000-0000-0000F9040000}"/>
    <cellStyle name="출력 3 3" xfId="1280" xr:uid="{00000000-0005-0000-0000-0000FA040000}"/>
    <cellStyle name="출력 3 4" xfId="1281" xr:uid="{00000000-0005-0000-0000-0000FB040000}"/>
    <cellStyle name="출력 3 5" xfId="1282" xr:uid="{00000000-0005-0000-0000-0000FC040000}"/>
    <cellStyle name="출력 3 6" xfId="1283" xr:uid="{00000000-0005-0000-0000-0000FD040000}"/>
    <cellStyle name="출력 4" xfId="1284" xr:uid="{00000000-0005-0000-0000-0000FE040000}"/>
    <cellStyle name="출력 4 2" xfId="1285" xr:uid="{00000000-0005-0000-0000-0000FF040000}"/>
    <cellStyle name="출력 4 3" xfId="1286" xr:uid="{00000000-0005-0000-0000-000000050000}"/>
    <cellStyle name="출력 4 4" xfId="1287" xr:uid="{00000000-0005-0000-0000-000001050000}"/>
    <cellStyle name="출력 4 5" xfId="1288" xr:uid="{00000000-0005-0000-0000-000002050000}"/>
    <cellStyle name="출력 4 6" xfId="1289" xr:uid="{00000000-0005-0000-0000-000003050000}"/>
    <cellStyle name="출력 5" xfId="1290" xr:uid="{00000000-0005-0000-0000-000004050000}"/>
    <cellStyle name="출력 5 2" xfId="1291" xr:uid="{00000000-0005-0000-0000-000005050000}"/>
    <cellStyle name="출력 5 3" xfId="1292" xr:uid="{00000000-0005-0000-0000-000006050000}"/>
    <cellStyle name="출력 5 4" xfId="1293" xr:uid="{00000000-0005-0000-0000-000007050000}"/>
    <cellStyle name="출력 5 5" xfId="1294" xr:uid="{00000000-0005-0000-0000-000008050000}"/>
    <cellStyle name="출력 5 6" xfId="1295" xr:uid="{00000000-0005-0000-0000-000009050000}"/>
    <cellStyle name="콤마 [0]_2층전원공사" xfId="1296" xr:uid="{00000000-0005-0000-0000-00000A050000}"/>
    <cellStyle name="콤마_2층전원공사" xfId="1297" xr:uid="{00000000-0005-0000-0000-00000B050000}"/>
    <cellStyle name="표준" xfId="0" builtinId="0"/>
    <cellStyle name="표준 10" xfId="1298" xr:uid="{00000000-0005-0000-0000-00000D050000}"/>
    <cellStyle name="표준 10 10" xfId="1299" xr:uid="{00000000-0005-0000-0000-00000E050000}"/>
    <cellStyle name="표준 10 11" xfId="1300" xr:uid="{00000000-0005-0000-0000-00000F050000}"/>
    <cellStyle name="표준 10 12" xfId="1301" xr:uid="{00000000-0005-0000-0000-000010050000}"/>
    <cellStyle name="표준 10 13" xfId="1302" xr:uid="{00000000-0005-0000-0000-000011050000}"/>
    <cellStyle name="표준 10 14" xfId="1303" xr:uid="{00000000-0005-0000-0000-000012050000}"/>
    <cellStyle name="표준 10 15" xfId="1304" xr:uid="{00000000-0005-0000-0000-000013050000}"/>
    <cellStyle name="표준 10 16" xfId="1305" xr:uid="{00000000-0005-0000-0000-000014050000}"/>
    <cellStyle name="표준 10 17" xfId="1306" xr:uid="{00000000-0005-0000-0000-000015050000}"/>
    <cellStyle name="표준 10 18" xfId="1307" xr:uid="{00000000-0005-0000-0000-000016050000}"/>
    <cellStyle name="표준 10 19" xfId="1308" xr:uid="{00000000-0005-0000-0000-000017050000}"/>
    <cellStyle name="표준 10 2" xfId="3" xr:uid="{00000000-0005-0000-0000-000018050000}"/>
    <cellStyle name="표준 10 20" xfId="1309" xr:uid="{00000000-0005-0000-0000-000019050000}"/>
    <cellStyle name="표준 10 21" xfId="1310" xr:uid="{00000000-0005-0000-0000-00001A050000}"/>
    <cellStyle name="표준 10 22" xfId="1311" xr:uid="{00000000-0005-0000-0000-00001B050000}"/>
    <cellStyle name="표준 10 23" xfId="1312" xr:uid="{00000000-0005-0000-0000-00001C050000}"/>
    <cellStyle name="표준 10 24" xfId="1313" xr:uid="{00000000-0005-0000-0000-00001D050000}"/>
    <cellStyle name="표준 10 25" xfId="1314" xr:uid="{00000000-0005-0000-0000-00001E050000}"/>
    <cellStyle name="표준 10 26" xfId="1315" xr:uid="{00000000-0005-0000-0000-00001F050000}"/>
    <cellStyle name="표준 10 27" xfId="1316" xr:uid="{00000000-0005-0000-0000-000020050000}"/>
    <cellStyle name="표준 10 28" xfId="1317" xr:uid="{00000000-0005-0000-0000-000021050000}"/>
    <cellStyle name="표준 10 29" xfId="1318" xr:uid="{00000000-0005-0000-0000-000022050000}"/>
    <cellStyle name="표준 10 3" xfId="4" xr:uid="{00000000-0005-0000-0000-000023050000}"/>
    <cellStyle name="표준 10 30" xfId="1319" xr:uid="{00000000-0005-0000-0000-000024050000}"/>
    <cellStyle name="표준 10 31" xfId="1320" xr:uid="{00000000-0005-0000-0000-000025050000}"/>
    <cellStyle name="표준 10 32" xfId="1321" xr:uid="{00000000-0005-0000-0000-000026050000}"/>
    <cellStyle name="표준 10 33" xfId="1322" xr:uid="{00000000-0005-0000-0000-000027050000}"/>
    <cellStyle name="표준 10 34" xfId="1323" xr:uid="{00000000-0005-0000-0000-000028050000}"/>
    <cellStyle name="표준 10 35" xfId="1324" xr:uid="{00000000-0005-0000-0000-000029050000}"/>
    <cellStyle name="표준 10 36" xfId="1325" xr:uid="{00000000-0005-0000-0000-00002A050000}"/>
    <cellStyle name="표준 10 37" xfId="1326" xr:uid="{00000000-0005-0000-0000-00002B050000}"/>
    <cellStyle name="표준 10 38" xfId="1327" xr:uid="{00000000-0005-0000-0000-00002C050000}"/>
    <cellStyle name="표준 10 39" xfId="1328" xr:uid="{00000000-0005-0000-0000-00002D050000}"/>
    <cellStyle name="표준 10 4" xfId="1329" xr:uid="{00000000-0005-0000-0000-00002E050000}"/>
    <cellStyle name="표준 10 40" xfId="1330" xr:uid="{00000000-0005-0000-0000-00002F050000}"/>
    <cellStyle name="표준 10 41" xfId="1331" xr:uid="{00000000-0005-0000-0000-000030050000}"/>
    <cellStyle name="표준 10 5" xfId="1332" xr:uid="{00000000-0005-0000-0000-000031050000}"/>
    <cellStyle name="표준 10 6" xfId="1333" xr:uid="{00000000-0005-0000-0000-000032050000}"/>
    <cellStyle name="표준 10 7" xfId="1334" xr:uid="{00000000-0005-0000-0000-000033050000}"/>
    <cellStyle name="표준 10 8" xfId="1335" xr:uid="{00000000-0005-0000-0000-000034050000}"/>
    <cellStyle name="표준 10 9" xfId="1336" xr:uid="{00000000-0005-0000-0000-000035050000}"/>
    <cellStyle name="표준 10_(별첨 2-4) PC 진단 결과 및 보호대책_경북도청_v0.01_090824" xfId="1337" xr:uid="{00000000-0005-0000-0000-000036050000}"/>
    <cellStyle name="표준 11" xfId="1338" xr:uid="{00000000-0005-0000-0000-000037050000}"/>
    <cellStyle name="표준 11 10" xfId="1339" xr:uid="{00000000-0005-0000-0000-000038050000}"/>
    <cellStyle name="표준 11 11" xfId="1340" xr:uid="{00000000-0005-0000-0000-000039050000}"/>
    <cellStyle name="표준 11 12" xfId="1341" xr:uid="{00000000-0005-0000-0000-00003A050000}"/>
    <cellStyle name="표준 11 13" xfId="1342" xr:uid="{00000000-0005-0000-0000-00003B050000}"/>
    <cellStyle name="표준 11 15 2" xfId="1497" xr:uid="{A3D65037-92F5-44CA-9AC4-C972730EA13E}"/>
    <cellStyle name="표준 11 2" xfId="1343" xr:uid="{00000000-0005-0000-0000-00003C050000}"/>
    <cellStyle name="표준 11 3" xfId="1344" xr:uid="{00000000-0005-0000-0000-00003D050000}"/>
    <cellStyle name="표준 11 4" xfId="1345" xr:uid="{00000000-0005-0000-0000-00003E050000}"/>
    <cellStyle name="표준 11 5" xfId="1346" xr:uid="{00000000-0005-0000-0000-00003F050000}"/>
    <cellStyle name="표준 11 6" xfId="1347" xr:uid="{00000000-0005-0000-0000-000040050000}"/>
    <cellStyle name="표준 11 7" xfId="1348" xr:uid="{00000000-0005-0000-0000-000041050000}"/>
    <cellStyle name="표준 11 8" xfId="1349" xr:uid="{00000000-0005-0000-0000-000042050000}"/>
    <cellStyle name="표준 11 9" xfId="1350" xr:uid="{00000000-0005-0000-0000-000043050000}"/>
    <cellStyle name="표준 110" xfId="1462" xr:uid="{00000000-0005-0000-0000-000044050000}"/>
    <cellStyle name="표준 110 2" xfId="1482" xr:uid="{00000000-0005-0000-0000-000045050000}"/>
    <cellStyle name="표준 110 4" xfId="1498" xr:uid="{58BA5AEC-5835-4382-B107-92EDB43DA993}"/>
    <cellStyle name="표준 112" xfId="1496" xr:uid="{00000000-0005-0000-0000-000046050000}"/>
    <cellStyle name="표준 12" xfId="1351" xr:uid="{00000000-0005-0000-0000-000047050000}"/>
    <cellStyle name="표준 12 2" xfId="1352" xr:uid="{00000000-0005-0000-0000-000048050000}"/>
    <cellStyle name="표준 12 9" xfId="1464" xr:uid="{00000000-0005-0000-0000-000049050000}"/>
    <cellStyle name="표준 125" xfId="1473" xr:uid="{00000000-0005-0000-0000-00004A050000}"/>
    <cellStyle name="표준 129" xfId="1481" xr:uid="{00000000-0005-0000-0000-00004B050000}"/>
    <cellStyle name="표준 13" xfId="1353" xr:uid="{00000000-0005-0000-0000-00004C050000}"/>
    <cellStyle name="표준 13 2" xfId="1354" xr:uid="{00000000-0005-0000-0000-00004D050000}"/>
    <cellStyle name="표준 13 3" xfId="1355" xr:uid="{00000000-0005-0000-0000-00004E050000}"/>
    <cellStyle name="표준 13_(전남도청) 별첨자료_v1.0" xfId="1356" xr:uid="{00000000-0005-0000-0000-00004F050000}"/>
    <cellStyle name="표준 130" xfId="1479" xr:uid="{00000000-0005-0000-0000-000050050000}"/>
    <cellStyle name="표준 131" xfId="1480" xr:uid="{00000000-0005-0000-0000-000051050000}"/>
    <cellStyle name="표준 132" xfId="1463" xr:uid="{00000000-0005-0000-0000-000052050000}"/>
    <cellStyle name="표준 132 2" xfId="1483" xr:uid="{00000000-0005-0000-0000-000053050000}"/>
    <cellStyle name="표준 134" xfId="1470" xr:uid="{00000000-0005-0000-0000-000054050000}"/>
    <cellStyle name="표준 134 2" xfId="1488" xr:uid="{00000000-0005-0000-0000-000055050000}"/>
    <cellStyle name="표준 135" xfId="1471" xr:uid="{00000000-0005-0000-0000-000056050000}"/>
    <cellStyle name="표준 135 2" xfId="1489" xr:uid="{00000000-0005-0000-0000-000057050000}"/>
    <cellStyle name="표준 136" xfId="1465" xr:uid="{00000000-0005-0000-0000-000058050000}"/>
    <cellStyle name="표준 136 2" xfId="1484" xr:uid="{00000000-0005-0000-0000-000059050000}"/>
    <cellStyle name="표준 137" xfId="1467" xr:uid="{00000000-0005-0000-0000-00005A050000}"/>
    <cellStyle name="표준 137 2" xfId="1485" xr:uid="{00000000-0005-0000-0000-00005B050000}"/>
    <cellStyle name="표준 138" xfId="1468" xr:uid="{00000000-0005-0000-0000-00005C050000}"/>
    <cellStyle name="표준 138 2" xfId="1486" xr:uid="{00000000-0005-0000-0000-00005D050000}"/>
    <cellStyle name="표준 139" xfId="1469" xr:uid="{00000000-0005-0000-0000-00005E050000}"/>
    <cellStyle name="표준 139 2" xfId="1487" xr:uid="{00000000-0005-0000-0000-00005F050000}"/>
    <cellStyle name="표준 14" xfId="1357" xr:uid="{00000000-0005-0000-0000-000060050000}"/>
    <cellStyle name="표준 14 2" xfId="1358" xr:uid="{00000000-0005-0000-0000-000061050000}"/>
    <cellStyle name="표준 140" xfId="1474" xr:uid="{00000000-0005-0000-0000-000062050000}"/>
    <cellStyle name="표준 140 2" xfId="1490" xr:uid="{00000000-0005-0000-0000-000063050000}"/>
    <cellStyle name="표준 141" xfId="1475" xr:uid="{00000000-0005-0000-0000-000064050000}"/>
    <cellStyle name="표준 141 2" xfId="1491" xr:uid="{00000000-0005-0000-0000-000065050000}"/>
    <cellStyle name="표준 142" xfId="1476" xr:uid="{00000000-0005-0000-0000-000066050000}"/>
    <cellStyle name="표준 142 2" xfId="1492" xr:uid="{00000000-0005-0000-0000-000067050000}"/>
    <cellStyle name="표준 143" xfId="1477" xr:uid="{00000000-0005-0000-0000-000068050000}"/>
    <cellStyle name="표준 143 2" xfId="1493" xr:uid="{00000000-0005-0000-0000-000069050000}"/>
    <cellStyle name="표준 144" xfId="1478" xr:uid="{00000000-0005-0000-0000-00006A050000}"/>
    <cellStyle name="표준 144 2" xfId="1494" xr:uid="{00000000-0005-0000-0000-00006B050000}"/>
    <cellStyle name="표준 15" xfId="1359" xr:uid="{00000000-0005-0000-0000-00006C050000}"/>
    <cellStyle name="표준 16" xfId="1360" xr:uid="{00000000-0005-0000-0000-00006D050000}"/>
    <cellStyle name="표준 17" xfId="1361" xr:uid="{00000000-0005-0000-0000-00006E050000}"/>
    <cellStyle name="표준 18" xfId="1362" xr:uid="{00000000-0005-0000-0000-00006F050000}"/>
    <cellStyle name="표준 19" xfId="1363" xr:uid="{00000000-0005-0000-0000-000070050000}"/>
    <cellStyle name="표준 2" xfId="1" xr:uid="{00000000-0005-0000-0000-000071050000}"/>
    <cellStyle name="표준 2 10" xfId="1364" xr:uid="{00000000-0005-0000-0000-000072050000}"/>
    <cellStyle name="표준 2 11" xfId="1365" xr:uid="{00000000-0005-0000-0000-000073050000}"/>
    <cellStyle name="표준 2 12" xfId="1366" xr:uid="{00000000-0005-0000-0000-000074050000}"/>
    <cellStyle name="표준 2 13" xfId="1367" xr:uid="{00000000-0005-0000-0000-000075050000}"/>
    <cellStyle name="표준 2 14" xfId="1368" xr:uid="{00000000-0005-0000-0000-000076050000}"/>
    <cellStyle name="표준 2 15" xfId="1369" xr:uid="{00000000-0005-0000-0000-000077050000}"/>
    <cellStyle name="표준 2 16" xfId="1370" xr:uid="{00000000-0005-0000-0000-000078050000}"/>
    <cellStyle name="표준 2 17" xfId="1371" xr:uid="{00000000-0005-0000-0000-000079050000}"/>
    <cellStyle name="표준 2 18" xfId="1461" xr:uid="{00000000-0005-0000-0000-00007A050000}"/>
    <cellStyle name="표준 2 2" xfId="1372" xr:uid="{00000000-0005-0000-0000-00007B050000}"/>
    <cellStyle name="표준 2 2 2" xfId="1373" xr:uid="{00000000-0005-0000-0000-00007C050000}"/>
    <cellStyle name="표준 2 2 3" xfId="1374" xr:uid="{00000000-0005-0000-0000-00007D050000}"/>
    <cellStyle name="표준 2 23" xfId="1375" xr:uid="{00000000-0005-0000-0000-00007E050000}"/>
    <cellStyle name="표준 2 3" xfId="1376" xr:uid="{00000000-0005-0000-0000-00007F050000}"/>
    <cellStyle name="표준 2 4" xfId="1377" xr:uid="{00000000-0005-0000-0000-000080050000}"/>
    <cellStyle name="표준 2 5" xfId="1378" xr:uid="{00000000-0005-0000-0000-000081050000}"/>
    <cellStyle name="표준 2 6" xfId="1379" xr:uid="{00000000-0005-0000-0000-000082050000}"/>
    <cellStyle name="표준 2 7" xfId="1380" xr:uid="{00000000-0005-0000-0000-000083050000}"/>
    <cellStyle name="표준 2 8" xfId="1381" xr:uid="{00000000-0005-0000-0000-000084050000}"/>
    <cellStyle name="표준 2 9" xfId="1382" xr:uid="{00000000-0005-0000-0000-000085050000}"/>
    <cellStyle name="표준 20" xfId="1383" xr:uid="{00000000-0005-0000-0000-000086050000}"/>
    <cellStyle name="표준 21" xfId="1384" xr:uid="{00000000-0005-0000-0000-000087050000}"/>
    <cellStyle name="표준 22" xfId="1385" xr:uid="{00000000-0005-0000-0000-000088050000}"/>
    <cellStyle name="표준 23" xfId="1386" xr:uid="{00000000-0005-0000-0000-000089050000}"/>
    <cellStyle name="표준 24" xfId="1387" xr:uid="{00000000-0005-0000-0000-00008A050000}"/>
    <cellStyle name="표준 25" xfId="1388" xr:uid="{00000000-0005-0000-0000-00008B050000}"/>
    <cellStyle name="표준 26" xfId="1389" xr:uid="{00000000-0005-0000-0000-00008C050000}"/>
    <cellStyle name="표준 27" xfId="1390" xr:uid="{00000000-0005-0000-0000-00008D050000}"/>
    <cellStyle name="표준 28" xfId="1391" xr:uid="{00000000-0005-0000-0000-00008E050000}"/>
    <cellStyle name="표준 29" xfId="1392" xr:uid="{00000000-0005-0000-0000-00008F050000}"/>
    <cellStyle name="표준 3" xfId="2" xr:uid="{00000000-0005-0000-0000-000090050000}"/>
    <cellStyle name="표준 3 2" xfId="1393" xr:uid="{00000000-0005-0000-0000-000091050000}"/>
    <cellStyle name="표준 3 3" xfId="1394" xr:uid="{00000000-0005-0000-0000-000092050000}"/>
    <cellStyle name="표준 30" xfId="1395" xr:uid="{00000000-0005-0000-0000-000093050000}"/>
    <cellStyle name="표준 31" xfId="1396" xr:uid="{00000000-0005-0000-0000-000094050000}"/>
    <cellStyle name="표준 32" xfId="1397" xr:uid="{00000000-0005-0000-0000-000095050000}"/>
    <cellStyle name="표준 33" xfId="1398" xr:uid="{00000000-0005-0000-0000-000096050000}"/>
    <cellStyle name="표준 34" xfId="1399" xr:uid="{00000000-0005-0000-0000-000097050000}"/>
    <cellStyle name="표준 35" xfId="1400" xr:uid="{00000000-0005-0000-0000-000098050000}"/>
    <cellStyle name="표준 36" xfId="1401" xr:uid="{00000000-0005-0000-0000-000099050000}"/>
    <cellStyle name="표준 37" xfId="1402" xr:uid="{00000000-0005-0000-0000-00009A050000}"/>
    <cellStyle name="표준 38" xfId="1403" xr:uid="{00000000-0005-0000-0000-00009B050000}"/>
    <cellStyle name="표준 39" xfId="1404" xr:uid="{00000000-0005-0000-0000-00009C050000}"/>
    <cellStyle name="표준 4" xfId="1405" xr:uid="{00000000-0005-0000-0000-00009D050000}"/>
    <cellStyle name="표준 4 2" xfId="1406" xr:uid="{00000000-0005-0000-0000-00009E050000}"/>
    <cellStyle name="표준 4 3" xfId="1407" xr:uid="{00000000-0005-0000-0000-00009F050000}"/>
    <cellStyle name="표준 40" xfId="5" xr:uid="{00000000-0005-0000-0000-0000A0050000}"/>
    <cellStyle name="표준 41" xfId="1408" xr:uid="{00000000-0005-0000-0000-0000A1050000}"/>
    <cellStyle name="표준 42" xfId="1409" xr:uid="{00000000-0005-0000-0000-0000A2050000}"/>
    <cellStyle name="표준 43" xfId="1410" xr:uid="{00000000-0005-0000-0000-0000A3050000}"/>
    <cellStyle name="표준 44" xfId="1411" xr:uid="{00000000-0005-0000-0000-0000A4050000}"/>
    <cellStyle name="표준 45" xfId="1412" xr:uid="{00000000-0005-0000-0000-0000A5050000}"/>
    <cellStyle name="표준 46" xfId="1413" xr:uid="{00000000-0005-0000-0000-0000A6050000}"/>
    <cellStyle name="표준 47" xfId="1414" xr:uid="{00000000-0005-0000-0000-0000A7050000}"/>
    <cellStyle name="표준 5" xfId="1415" xr:uid="{00000000-0005-0000-0000-0000A8050000}"/>
    <cellStyle name="표준 5 10" xfId="1416" xr:uid="{00000000-0005-0000-0000-0000A9050000}"/>
    <cellStyle name="표준 5 11" xfId="1417" xr:uid="{00000000-0005-0000-0000-0000AA050000}"/>
    <cellStyle name="표준 5 12" xfId="1418" xr:uid="{00000000-0005-0000-0000-0000AB050000}"/>
    <cellStyle name="표준 5 13" xfId="1419" xr:uid="{00000000-0005-0000-0000-0000AC050000}"/>
    <cellStyle name="표준 5 14" xfId="1420" xr:uid="{00000000-0005-0000-0000-0000AD050000}"/>
    <cellStyle name="표준 5 15" xfId="1421" xr:uid="{00000000-0005-0000-0000-0000AE050000}"/>
    <cellStyle name="표준 5 16" xfId="1422" xr:uid="{00000000-0005-0000-0000-0000AF050000}"/>
    <cellStyle name="표준 5 2" xfId="1423" xr:uid="{00000000-0005-0000-0000-0000B0050000}"/>
    <cellStyle name="표준 5 3" xfId="1424" xr:uid="{00000000-0005-0000-0000-0000B1050000}"/>
    <cellStyle name="표준 5 4" xfId="1425" xr:uid="{00000000-0005-0000-0000-0000B2050000}"/>
    <cellStyle name="표준 5 5" xfId="1426" xr:uid="{00000000-0005-0000-0000-0000B3050000}"/>
    <cellStyle name="표준 5 6" xfId="1427" xr:uid="{00000000-0005-0000-0000-0000B4050000}"/>
    <cellStyle name="표준 5 7" xfId="1428" xr:uid="{00000000-0005-0000-0000-0000B5050000}"/>
    <cellStyle name="표준 5 8" xfId="1429" xr:uid="{00000000-0005-0000-0000-0000B6050000}"/>
    <cellStyle name="표준 5 9" xfId="1430" xr:uid="{00000000-0005-0000-0000-0000B7050000}"/>
    <cellStyle name="표준 515" xfId="1495" xr:uid="{00000000-0005-0000-0000-0000B8050000}"/>
    <cellStyle name="표준 6" xfId="1431" xr:uid="{00000000-0005-0000-0000-0000B9050000}"/>
    <cellStyle name="표준 6 2" xfId="1432" xr:uid="{00000000-0005-0000-0000-0000BA050000}"/>
    <cellStyle name="표준 6 3" xfId="1433" xr:uid="{00000000-0005-0000-0000-0000BB050000}"/>
    <cellStyle name="표준 7" xfId="1434" xr:uid="{00000000-0005-0000-0000-0000BC050000}"/>
    <cellStyle name="표준 7 10" xfId="1435" xr:uid="{00000000-0005-0000-0000-0000BD050000}"/>
    <cellStyle name="표준 7 11" xfId="1436" xr:uid="{00000000-0005-0000-0000-0000BE050000}"/>
    <cellStyle name="표준 7 11 2" xfId="1437" xr:uid="{00000000-0005-0000-0000-0000BF050000}"/>
    <cellStyle name="표준 7 11 3" xfId="1438" xr:uid="{00000000-0005-0000-0000-0000C0050000}"/>
    <cellStyle name="표준 7 2" xfId="1439" xr:uid="{00000000-0005-0000-0000-0000C1050000}"/>
    <cellStyle name="표준 7 3" xfId="1440" xr:uid="{00000000-0005-0000-0000-0000C2050000}"/>
    <cellStyle name="표준 7 4" xfId="1441" xr:uid="{00000000-0005-0000-0000-0000C3050000}"/>
    <cellStyle name="표준 7 5" xfId="1442" xr:uid="{00000000-0005-0000-0000-0000C4050000}"/>
    <cellStyle name="표준 7 6" xfId="1443" xr:uid="{00000000-0005-0000-0000-0000C5050000}"/>
    <cellStyle name="표준 7 7" xfId="1444" xr:uid="{00000000-0005-0000-0000-0000C6050000}"/>
    <cellStyle name="표준 7 8" xfId="1445" xr:uid="{00000000-0005-0000-0000-0000C7050000}"/>
    <cellStyle name="표준 7 9" xfId="1446" xr:uid="{00000000-0005-0000-0000-0000C8050000}"/>
    <cellStyle name="표준 8" xfId="1447" xr:uid="{00000000-0005-0000-0000-0000C9050000}"/>
    <cellStyle name="표준 8 2" xfId="1448" xr:uid="{00000000-0005-0000-0000-0000CA050000}"/>
    <cellStyle name="표준 8 3" xfId="1449" xr:uid="{00000000-0005-0000-0000-0000CB050000}"/>
    <cellStyle name="표준 8 4" xfId="1450" xr:uid="{00000000-0005-0000-0000-0000CC050000}"/>
    <cellStyle name="표준 8 5" xfId="1451" xr:uid="{00000000-0005-0000-0000-0000CD050000}"/>
    <cellStyle name="표준 8 6" xfId="1452" xr:uid="{00000000-0005-0000-0000-0000CE050000}"/>
    <cellStyle name="표준 8 7" xfId="1453" xr:uid="{00000000-0005-0000-0000-0000CF050000}"/>
    <cellStyle name="표준 8 8" xfId="1454" xr:uid="{00000000-0005-0000-0000-0000D0050000}"/>
    <cellStyle name="표준 8 9" xfId="1455" xr:uid="{00000000-0005-0000-0000-0000D1050000}"/>
    <cellStyle name="표준 9" xfId="6" xr:uid="{00000000-0005-0000-0000-0000D2050000}"/>
    <cellStyle name="표준 9 2" xfId="1456" xr:uid="{00000000-0005-0000-0000-0000D3050000}"/>
    <cellStyle name="표준 9 3" xfId="1457" xr:uid="{00000000-0005-0000-0000-0000D4050000}"/>
    <cellStyle name="표준 9 4" xfId="1458" xr:uid="{00000000-0005-0000-0000-0000D5050000}"/>
    <cellStyle name="표준 9 5" xfId="1459" xr:uid="{00000000-0005-0000-0000-0000D6050000}"/>
    <cellStyle name="표준 9 6" xfId="1460" xr:uid="{00000000-0005-0000-0000-0000D7050000}"/>
    <cellStyle name="하이퍼링크" xfId="8" builtinId="8"/>
  </cellStyles>
  <dxfs count="57">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ill>
        <patternFill>
          <bgColor rgb="FF92D050"/>
        </patternFill>
      </fill>
    </dxf>
    <dxf>
      <font>
        <color rgb="FFFF0000"/>
      </font>
      <fill>
        <patternFill>
          <bgColor rgb="FFFFFF00"/>
        </patternFill>
      </fill>
    </dxf>
    <dxf>
      <font>
        <color theme="0" tint="-0.34998626667073579"/>
      </font>
    </dxf>
    <dxf>
      <font>
        <color rgb="FFFF0000"/>
      </font>
      <fill>
        <patternFill>
          <bgColor rgb="FFFFFF00"/>
        </patternFill>
      </fill>
    </dxf>
    <dxf>
      <font>
        <color theme="0" tint="-0.34998626667073579"/>
      </font>
    </dxf>
    <dxf>
      <fill>
        <patternFill>
          <bgColor rgb="FFFFFFCC"/>
        </patternFill>
      </fill>
    </dxf>
  </dxfs>
  <tableStyles count="0" defaultTableStyle="TableStyleMedium2" defaultPivotStyle="PivotStyleMedium9"/>
  <colors>
    <mruColors>
      <color rgb="FFD9D9D9"/>
      <color rgb="FF004EA2"/>
      <color rgb="FF002B69"/>
      <color rgb="FF8FC31F"/>
      <color rgb="FF85BFFF"/>
      <color rgb="FF6087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sz="1200"/>
              <a:t>서버</a:t>
            </a:r>
            <a:r>
              <a:rPr lang="en-US" altLang="ko-KR" sz="1200"/>
              <a:t>(Linux)</a:t>
            </a:r>
            <a:r>
              <a:rPr lang="en-US" sz="1200"/>
              <a:t> </a:t>
            </a:r>
            <a:r>
              <a:rPr lang="ko-KR" sz="1200"/>
              <a:t>보안수준</a:t>
            </a:r>
          </a:p>
        </c:rich>
      </c:tx>
      <c:overlay val="0"/>
    </c:title>
    <c:autoTitleDeleted val="0"/>
    <c:plotArea>
      <c:layout/>
      <c:barChart>
        <c:barDir val="col"/>
        <c:grouping val="clustered"/>
        <c:varyColors val="0"/>
        <c:ser>
          <c:idx val="2"/>
          <c:order val="0"/>
          <c:tx>
            <c:strRef>
              <c:f>통계!$A$3</c:f>
              <c:strCache>
                <c:ptCount val="1"/>
                <c:pt idx="0">
                  <c:v>영역별 보안수준</c:v>
                </c:pt>
              </c:strCache>
            </c:strRef>
          </c:tx>
          <c:spPr>
            <a:solidFill>
              <a:schemeClr val="tx2">
                <a:lumMod val="40000"/>
                <a:lumOff val="60000"/>
              </a:schemeClr>
            </a:solidFill>
          </c:spPr>
          <c:invertIfNegative val="0"/>
          <c:dPt>
            <c:idx val="4"/>
            <c:invertIfNegative val="0"/>
            <c:bubble3D val="0"/>
            <c:spPr>
              <a:solidFill>
                <a:schemeClr val="accent1">
                  <a:lumMod val="75000"/>
                </a:schemeClr>
              </a:solidFill>
            </c:spPr>
            <c:extLst>
              <c:ext xmlns:c16="http://schemas.microsoft.com/office/drawing/2014/chart" uri="{C3380CC4-5D6E-409C-BE32-E72D297353CC}">
                <c16:uniqueId val="{00000001-7971-4D78-A357-56194008C173}"/>
              </c:ext>
            </c:extLst>
          </c:dPt>
          <c:dLbls>
            <c:spPr>
              <a:noFill/>
              <a:ln>
                <a:noFill/>
              </a:ln>
              <a:effectLst/>
            </c:spPr>
            <c:txPr>
              <a:bodyPr wrap="square" lIns="38100" tIns="19050" rIns="38100" bIns="19050" anchor="ctr">
                <a:spAutoFit/>
              </a:bodyPr>
              <a:lstStyle/>
              <a:p>
                <a:pPr>
                  <a:defRPr sz="900"/>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통계!$B$6:$B$10</c:f>
              <c:strCache>
                <c:ptCount val="5"/>
                <c:pt idx="0">
                  <c:v>계정 관리</c:v>
                </c:pt>
                <c:pt idx="1">
                  <c:v>파일 및 디렉토리 관리</c:v>
                </c:pt>
                <c:pt idx="2">
                  <c:v>서비스 관리</c:v>
                </c:pt>
                <c:pt idx="3">
                  <c:v>패치 및 로그관리</c:v>
                </c:pt>
                <c:pt idx="4">
                  <c:v>계</c:v>
                </c:pt>
              </c:strCache>
            </c:strRef>
          </c:cat>
          <c:val>
            <c:numRef>
              <c:f>통계!$L$6:$L$10</c:f>
              <c:numCache>
                <c:formatCode>0.0%</c:formatCode>
                <c:ptCount val="5"/>
                <c:pt idx="0">
                  <c:v>0.36904761904761907</c:v>
                </c:pt>
                <c:pt idx="1">
                  <c:v>0.86904761904761907</c:v>
                </c:pt>
                <c:pt idx="2">
                  <c:v>0.99629629629629635</c:v>
                </c:pt>
                <c:pt idx="3">
                  <c:v>0</c:v>
                </c:pt>
                <c:pt idx="4">
                  <c:v>0.80841121495327106</c:v>
                </c:pt>
              </c:numCache>
            </c:numRef>
          </c:val>
          <c:extLst>
            <c:ext xmlns:c16="http://schemas.microsoft.com/office/drawing/2014/chart" uri="{C3380CC4-5D6E-409C-BE32-E72D297353CC}">
              <c16:uniqueId val="{00000002-7971-4D78-A357-56194008C173}"/>
            </c:ext>
          </c:extLst>
        </c:ser>
        <c:dLbls>
          <c:showLegendKey val="0"/>
          <c:showVal val="0"/>
          <c:showCatName val="0"/>
          <c:showSerName val="0"/>
          <c:showPercent val="0"/>
          <c:showBubbleSize val="0"/>
        </c:dLbls>
        <c:gapWidth val="150"/>
        <c:axId val="1665520608"/>
        <c:axId val="1665522240"/>
      </c:barChart>
      <c:catAx>
        <c:axId val="1665520608"/>
        <c:scaling>
          <c:orientation val="minMax"/>
        </c:scaling>
        <c:delete val="0"/>
        <c:axPos val="b"/>
        <c:numFmt formatCode="General" sourceLinked="1"/>
        <c:majorTickMark val="out"/>
        <c:minorTickMark val="none"/>
        <c:tickLblPos val="nextTo"/>
        <c:txPr>
          <a:bodyPr/>
          <a:lstStyle/>
          <a:p>
            <a:pPr>
              <a:defRPr sz="900" b="1"/>
            </a:pPr>
            <a:endParaRPr lang="ko-KR"/>
          </a:p>
        </c:txPr>
        <c:crossAx val="1665522240"/>
        <c:crosses val="autoZero"/>
        <c:auto val="1"/>
        <c:lblAlgn val="ctr"/>
        <c:lblOffset val="100"/>
        <c:noMultiLvlLbl val="0"/>
      </c:catAx>
      <c:valAx>
        <c:axId val="1665522240"/>
        <c:scaling>
          <c:orientation val="minMax"/>
          <c:max val="1"/>
          <c:min val="0"/>
        </c:scaling>
        <c:delete val="0"/>
        <c:axPos val="l"/>
        <c:majorGridlines/>
        <c:numFmt formatCode="0.0%" sourceLinked="1"/>
        <c:majorTickMark val="out"/>
        <c:minorTickMark val="none"/>
        <c:tickLblPos val="nextTo"/>
        <c:crossAx val="1665520608"/>
        <c:crosses val="autoZero"/>
        <c:crossBetween val="between"/>
      </c:valAx>
    </c:plotArea>
    <c:plotVisOnly val="1"/>
    <c:dispBlanksAs val="gap"/>
    <c:showDLblsOverMax val="0"/>
  </c:chart>
  <c:txPr>
    <a:bodyPr/>
    <a:lstStyle/>
    <a:p>
      <a:pPr>
        <a:defRPr>
          <a:latin typeface="돋움체" pitchFamily="49" charset="-127"/>
          <a:ea typeface="돋움체" pitchFamily="49" charset="-127"/>
        </a:defRPr>
      </a:pPr>
      <a:endParaRPr lang="ko-KR"/>
    </a:p>
  </c:txPr>
  <c:printSettings>
    <c:headerFooter/>
    <c:pageMargins b="0.75" l="0.7" r="0.7" t="0.75" header="0.3" footer="0.3"/>
    <c:pageSetup paperSize="9"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U_001!$E$4</c:f>
              <c:strCache>
                <c:ptCount val="1"/>
                <c:pt idx="0">
                  <c:v>U_001</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U_001!$A$12:$A$15</c:f>
              <c:strCache>
                <c:ptCount val="4"/>
                <c:pt idx="0">
                  <c:v>U1</c:v>
                </c:pt>
                <c:pt idx="1">
                  <c:v>U2</c:v>
                </c:pt>
                <c:pt idx="2">
                  <c:v>U3</c:v>
                </c:pt>
                <c:pt idx="3">
                  <c:v>U4</c:v>
                </c:pt>
              </c:strCache>
            </c:strRef>
          </c:cat>
          <c:val>
            <c:numRef>
              <c:f>U_001!$J$12:$J$15</c:f>
              <c:numCache>
                <c:formatCode>0%</c:formatCode>
                <c:ptCount val="4"/>
                <c:pt idx="0">
                  <c:v>0.7857142857142857</c:v>
                </c:pt>
                <c:pt idx="1">
                  <c:v>0.9285714285714286</c:v>
                </c:pt>
                <c:pt idx="2">
                  <c:v>1</c:v>
                </c:pt>
                <c:pt idx="3">
                  <c:v>0</c:v>
                </c:pt>
              </c:numCache>
            </c:numRef>
          </c:val>
          <c:extLst>
            <c:ext xmlns:c16="http://schemas.microsoft.com/office/drawing/2014/chart" uri="{C3380CC4-5D6E-409C-BE32-E72D297353CC}">
              <c16:uniqueId val="{00000000-20CD-450E-AAAD-A90A8C040743}"/>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U_002!$E$4</c:f>
              <c:strCache>
                <c:ptCount val="1"/>
                <c:pt idx="0">
                  <c:v>U_002</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U_002!$A$12:$A$15</c:f>
              <c:strCache>
                <c:ptCount val="4"/>
                <c:pt idx="0">
                  <c:v>U1</c:v>
                </c:pt>
                <c:pt idx="1">
                  <c:v>U2</c:v>
                </c:pt>
                <c:pt idx="2">
                  <c:v>U3</c:v>
                </c:pt>
                <c:pt idx="3">
                  <c:v>U4</c:v>
                </c:pt>
              </c:strCache>
            </c:strRef>
          </c:cat>
          <c:val>
            <c:numRef>
              <c:f>U_002!$J$12:$J$15</c:f>
              <c:numCache>
                <c:formatCode>0%</c:formatCode>
                <c:ptCount val="4"/>
                <c:pt idx="0">
                  <c:v>0.7857142857142857</c:v>
                </c:pt>
                <c:pt idx="1">
                  <c:v>0.9285714285714286</c:v>
                </c:pt>
                <c:pt idx="2">
                  <c:v>1</c:v>
                </c:pt>
                <c:pt idx="3">
                  <c:v>0</c:v>
                </c:pt>
              </c:numCache>
            </c:numRef>
          </c:val>
          <c:extLst>
            <c:ext xmlns:c16="http://schemas.microsoft.com/office/drawing/2014/chart" uri="{C3380CC4-5D6E-409C-BE32-E72D297353CC}">
              <c16:uniqueId val="{00000000-C38F-4482-A8AC-C13B5990B499}"/>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U_003!$E$4</c:f>
              <c:strCache>
                <c:ptCount val="1"/>
                <c:pt idx="0">
                  <c:v>U_003</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U_003!$A$12:$A$15</c:f>
              <c:strCache>
                <c:ptCount val="4"/>
                <c:pt idx="0">
                  <c:v>U1</c:v>
                </c:pt>
                <c:pt idx="1">
                  <c:v>U2</c:v>
                </c:pt>
                <c:pt idx="2">
                  <c:v>U3</c:v>
                </c:pt>
                <c:pt idx="3">
                  <c:v>U4</c:v>
                </c:pt>
              </c:strCache>
            </c:strRef>
          </c:cat>
          <c:val>
            <c:numRef>
              <c:f>U_003!$J$12:$J$15</c:f>
              <c:numCache>
                <c:formatCode>0%</c:formatCode>
                <c:ptCount val="4"/>
                <c:pt idx="0">
                  <c:v>1</c:v>
                </c:pt>
                <c:pt idx="1">
                  <c:v>0.9285714285714286</c:v>
                </c:pt>
                <c:pt idx="2">
                  <c:v>0.93333333333333335</c:v>
                </c:pt>
                <c:pt idx="3">
                  <c:v>0</c:v>
                </c:pt>
              </c:numCache>
            </c:numRef>
          </c:val>
          <c:extLst>
            <c:ext xmlns:c16="http://schemas.microsoft.com/office/drawing/2014/chart" uri="{C3380CC4-5D6E-409C-BE32-E72D297353CC}">
              <c16:uniqueId val="{00000000-C91F-438F-A422-04A52693FEFE}"/>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U_004!$E$4</c:f>
              <c:strCache>
                <c:ptCount val="1"/>
                <c:pt idx="0">
                  <c:v>U_004</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U_004!$A$12:$A$15</c:f>
              <c:strCache>
                <c:ptCount val="4"/>
                <c:pt idx="0">
                  <c:v>U1</c:v>
                </c:pt>
                <c:pt idx="1">
                  <c:v>U2</c:v>
                </c:pt>
                <c:pt idx="2">
                  <c:v>U3</c:v>
                </c:pt>
                <c:pt idx="3">
                  <c:v>U4</c:v>
                </c:pt>
              </c:strCache>
            </c:strRef>
          </c:cat>
          <c:val>
            <c:numRef>
              <c:f>U_004!$J$12:$J$15</c:f>
              <c:numCache>
                <c:formatCode>0%</c:formatCode>
                <c:ptCount val="4"/>
                <c:pt idx="0">
                  <c:v>0.6428571428571429</c:v>
                </c:pt>
                <c:pt idx="1">
                  <c:v>0.8571428571428571</c:v>
                </c:pt>
                <c:pt idx="2">
                  <c:v>1</c:v>
                </c:pt>
                <c:pt idx="3">
                  <c:v>0</c:v>
                </c:pt>
              </c:numCache>
            </c:numRef>
          </c:val>
          <c:extLst>
            <c:ext xmlns:c16="http://schemas.microsoft.com/office/drawing/2014/chart" uri="{C3380CC4-5D6E-409C-BE32-E72D297353CC}">
              <c16:uniqueId val="{00000000-DD4F-4F11-86DE-730A71D8A7A7}"/>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U_005!$E$4</c:f>
              <c:strCache>
                <c:ptCount val="1"/>
                <c:pt idx="0">
                  <c:v>U_005</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U_005!$A$12:$A$15</c:f>
              <c:strCache>
                <c:ptCount val="4"/>
                <c:pt idx="0">
                  <c:v>U1</c:v>
                </c:pt>
                <c:pt idx="1">
                  <c:v>U2</c:v>
                </c:pt>
                <c:pt idx="2">
                  <c:v>U3</c:v>
                </c:pt>
                <c:pt idx="3">
                  <c:v>U4</c:v>
                </c:pt>
              </c:strCache>
            </c:strRef>
          </c:cat>
          <c:val>
            <c:numRef>
              <c:f>U_005!$J$12:$J$15</c:f>
              <c:numCache>
                <c:formatCode>0%</c:formatCode>
                <c:ptCount val="4"/>
                <c:pt idx="0">
                  <c:v>0.6428571428571429</c:v>
                </c:pt>
                <c:pt idx="1">
                  <c:v>0.8571428571428571</c:v>
                </c:pt>
                <c:pt idx="2">
                  <c:v>1</c:v>
                </c:pt>
                <c:pt idx="3">
                  <c:v>0</c:v>
                </c:pt>
              </c:numCache>
            </c:numRef>
          </c:val>
          <c:extLst>
            <c:ext xmlns:c16="http://schemas.microsoft.com/office/drawing/2014/chart" uri="{C3380CC4-5D6E-409C-BE32-E72D297353CC}">
              <c16:uniqueId val="{00000000-19EF-4E02-A9C8-88EBAF94DB21}"/>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U_006!$E$4</c:f>
              <c:strCache>
                <c:ptCount val="1"/>
                <c:pt idx="0">
                  <c:v>U_006</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U_006!$A$12:$A$15</c:f>
              <c:strCache>
                <c:ptCount val="4"/>
                <c:pt idx="0">
                  <c:v>U1</c:v>
                </c:pt>
                <c:pt idx="1">
                  <c:v>U2</c:v>
                </c:pt>
                <c:pt idx="2">
                  <c:v>U3</c:v>
                </c:pt>
                <c:pt idx="3">
                  <c:v>U4</c:v>
                </c:pt>
              </c:strCache>
            </c:strRef>
          </c:cat>
          <c:val>
            <c:numRef>
              <c:f>U_006!$J$12:$J$15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4C12-465B-923F-FB4064B3B9D5}"/>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U_007!$E$4</c:f>
              <c:strCache>
                <c:ptCount val="1"/>
                <c:pt idx="0">
                  <c:v>U_007</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U_007!$A$12:$A$15</c:f>
              <c:strCache>
                <c:ptCount val="4"/>
                <c:pt idx="0">
                  <c:v>U1</c:v>
                </c:pt>
                <c:pt idx="1">
                  <c:v>U2</c:v>
                </c:pt>
                <c:pt idx="2">
                  <c:v>U3</c:v>
                </c:pt>
                <c:pt idx="3">
                  <c:v>U4</c:v>
                </c:pt>
              </c:strCache>
            </c:strRef>
          </c:cat>
          <c:val>
            <c:numRef>
              <c:f>U_007!$J$12:$J$15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CD39-4F91-AC76-C0E557C28532}"/>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U_008!$E$4</c:f>
              <c:strCache>
                <c:ptCount val="1"/>
                <c:pt idx="0">
                  <c:v>U_008</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U_008!$A$12:$A$15</c:f>
              <c:strCache>
                <c:ptCount val="4"/>
                <c:pt idx="0">
                  <c:v>U1</c:v>
                </c:pt>
                <c:pt idx="1">
                  <c:v>U2</c:v>
                </c:pt>
                <c:pt idx="2">
                  <c:v>U3</c:v>
                </c:pt>
                <c:pt idx="3">
                  <c:v>U4</c:v>
                </c:pt>
              </c:strCache>
            </c:strRef>
          </c:cat>
          <c:val>
            <c:numRef>
              <c:f>U_008!$J$12:$J$15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C16F-47C8-B41F-BC5D056F786E}"/>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U_009!$E$4</c:f>
              <c:strCache>
                <c:ptCount val="1"/>
                <c:pt idx="0">
                  <c:v>U_009</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U_009!$A$12:$A$15</c:f>
              <c:strCache>
                <c:ptCount val="4"/>
                <c:pt idx="0">
                  <c:v>U1</c:v>
                </c:pt>
                <c:pt idx="1">
                  <c:v>U2</c:v>
                </c:pt>
                <c:pt idx="2">
                  <c:v>U3</c:v>
                </c:pt>
                <c:pt idx="3">
                  <c:v>U4</c:v>
                </c:pt>
              </c:strCache>
            </c:strRef>
          </c:cat>
          <c:val>
            <c:numRef>
              <c:f>U_009!$J$12:$J$15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E3CD-4921-9D85-AE89D3176992}"/>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U_010!$E$4</c:f>
              <c:strCache>
                <c:ptCount val="1"/>
                <c:pt idx="0">
                  <c:v>U_010</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U_010!$A$12:$A$15</c:f>
              <c:strCache>
                <c:ptCount val="4"/>
                <c:pt idx="0">
                  <c:v>U1</c:v>
                </c:pt>
                <c:pt idx="1">
                  <c:v>U2</c:v>
                </c:pt>
                <c:pt idx="2">
                  <c:v>U3</c:v>
                </c:pt>
                <c:pt idx="3">
                  <c:v>U4</c:v>
                </c:pt>
              </c:strCache>
            </c:strRef>
          </c:cat>
          <c:val>
            <c:numRef>
              <c:f>U_010!$J$12:$J$15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4F47-4514-8FCE-E742CA3D18A2}"/>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U_011!$E$4</c:f>
              <c:strCache>
                <c:ptCount val="1"/>
                <c:pt idx="0">
                  <c:v>U_011</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U_011!$A$12:$A$15</c:f>
              <c:strCache>
                <c:ptCount val="4"/>
                <c:pt idx="0">
                  <c:v>U1</c:v>
                </c:pt>
                <c:pt idx="1">
                  <c:v>U2</c:v>
                </c:pt>
                <c:pt idx="2">
                  <c:v>U3</c:v>
                </c:pt>
                <c:pt idx="3">
                  <c:v>U4</c:v>
                </c:pt>
              </c:strCache>
            </c:strRef>
          </c:cat>
          <c:val>
            <c:numRef>
              <c:f>U_011!$J$12:$J$15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22CE-4750-9A6A-81B8F59657AD}"/>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U_012!$E$4</c:f>
              <c:strCache>
                <c:ptCount val="1"/>
                <c:pt idx="0">
                  <c:v>U_012</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U_012!$A$12:$A$15</c:f>
              <c:strCache>
                <c:ptCount val="4"/>
                <c:pt idx="0">
                  <c:v>U1</c:v>
                </c:pt>
                <c:pt idx="1">
                  <c:v>U2</c:v>
                </c:pt>
                <c:pt idx="2">
                  <c:v>U3</c:v>
                </c:pt>
                <c:pt idx="3">
                  <c:v>U4</c:v>
                </c:pt>
              </c:strCache>
            </c:strRef>
          </c:cat>
          <c:val>
            <c:numRef>
              <c:f>U_012!$J$12:$J$15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AC93-495F-983B-A7D3E82CFED8}"/>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U_013!$E$4</c:f>
              <c:strCache>
                <c:ptCount val="1"/>
                <c:pt idx="0">
                  <c:v>U_013</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U_013!$A$12:$A$15</c:f>
              <c:strCache>
                <c:ptCount val="4"/>
                <c:pt idx="0">
                  <c:v>U1</c:v>
                </c:pt>
                <c:pt idx="1">
                  <c:v>U2</c:v>
                </c:pt>
                <c:pt idx="2">
                  <c:v>U3</c:v>
                </c:pt>
                <c:pt idx="3">
                  <c:v>U4</c:v>
                </c:pt>
              </c:strCache>
            </c:strRef>
          </c:cat>
          <c:val>
            <c:numRef>
              <c:f>U_013!$J$12:$J$15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EC64-47B7-8D52-2465F69EAECE}"/>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U_014!$E$4</c:f>
              <c:strCache>
                <c:ptCount val="1"/>
                <c:pt idx="0">
                  <c:v>U_014</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U_014!$A$12:$A$15</c:f>
              <c:strCache>
                <c:ptCount val="4"/>
                <c:pt idx="0">
                  <c:v>U1</c:v>
                </c:pt>
                <c:pt idx="1">
                  <c:v>U2</c:v>
                </c:pt>
                <c:pt idx="2">
                  <c:v>U3</c:v>
                </c:pt>
                <c:pt idx="3">
                  <c:v>U4</c:v>
                </c:pt>
              </c:strCache>
            </c:strRef>
          </c:cat>
          <c:val>
            <c:numRef>
              <c:f>U_014!$J$12:$J$15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C1D6-4B1B-9322-9C9E0FDCEE8C}"/>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U_015!$E$4</c:f>
              <c:strCache>
                <c:ptCount val="1"/>
                <c:pt idx="0">
                  <c:v>U_015</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U_015!$A$12:$A$15</c:f>
              <c:strCache>
                <c:ptCount val="4"/>
                <c:pt idx="0">
                  <c:v>U1</c:v>
                </c:pt>
                <c:pt idx="1">
                  <c:v>U2</c:v>
                </c:pt>
                <c:pt idx="2">
                  <c:v>U3</c:v>
                </c:pt>
                <c:pt idx="3">
                  <c:v>U4</c:v>
                </c:pt>
              </c:strCache>
            </c:strRef>
          </c:cat>
          <c:val>
            <c:numRef>
              <c:f>U_015!$J$12:$J$15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DD8B-4D0A-8092-79BE8C74387B}"/>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U_016!$E$4</c:f>
              <c:strCache>
                <c:ptCount val="1"/>
                <c:pt idx="0">
                  <c:v>U_016</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U_016!$A$12:$A$15</c:f>
              <c:strCache>
                <c:ptCount val="4"/>
                <c:pt idx="0">
                  <c:v>U1</c:v>
                </c:pt>
                <c:pt idx="1">
                  <c:v>U2</c:v>
                </c:pt>
                <c:pt idx="2">
                  <c:v>U3</c:v>
                </c:pt>
                <c:pt idx="3">
                  <c:v>U4</c:v>
                </c:pt>
              </c:strCache>
            </c:strRef>
          </c:cat>
          <c:val>
            <c:numRef>
              <c:f>U_016!$J$12:$J$15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EB25-4DF9-BB0E-511E811039B3}"/>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U_017!$E$4</c:f>
              <c:strCache>
                <c:ptCount val="1"/>
                <c:pt idx="0">
                  <c:v>U_017</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U_017!$A$12:$A$15</c:f>
              <c:strCache>
                <c:ptCount val="4"/>
                <c:pt idx="0">
                  <c:v>U1</c:v>
                </c:pt>
                <c:pt idx="1">
                  <c:v>U2</c:v>
                </c:pt>
                <c:pt idx="2">
                  <c:v>U3</c:v>
                </c:pt>
                <c:pt idx="3">
                  <c:v>U4</c:v>
                </c:pt>
              </c:strCache>
            </c:strRef>
          </c:cat>
          <c:val>
            <c:numRef>
              <c:f>U_017!$J$12:$J$15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AAAF-4D26-9ABC-C1E14C8DE8CB}"/>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U_018!$E$4</c:f>
              <c:strCache>
                <c:ptCount val="1"/>
                <c:pt idx="0">
                  <c:v>U_018</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U_018!$A$12:$A$15</c:f>
              <c:strCache>
                <c:ptCount val="4"/>
                <c:pt idx="0">
                  <c:v>U1</c:v>
                </c:pt>
                <c:pt idx="1">
                  <c:v>U2</c:v>
                </c:pt>
                <c:pt idx="2">
                  <c:v>U3</c:v>
                </c:pt>
                <c:pt idx="3">
                  <c:v>U4</c:v>
                </c:pt>
              </c:strCache>
            </c:strRef>
          </c:cat>
          <c:val>
            <c:numRef>
              <c:f>U_018!$J$12:$J$15</c:f>
              <c:numCache>
                <c:formatCode>0%</c:formatCode>
                <c:ptCount val="4"/>
                <c:pt idx="0">
                  <c:v>0.21428571428571427</c:v>
                </c:pt>
                <c:pt idx="1">
                  <c:v>0.8571428571428571</c:v>
                </c:pt>
                <c:pt idx="2">
                  <c:v>1</c:v>
                </c:pt>
                <c:pt idx="3">
                  <c:v>0</c:v>
                </c:pt>
              </c:numCache>
            </c:numRef>
          </c:val>
          <c:extLst>
            <c:ext xmlns:c16="http://schemas.microsoft.com/office/drawing/2014/chart" uri="{C3380CC4-5D6E-409C-BE32-E72D297353CC}">
              <c16:uniqueId val="{00000000-90D1-4027-994B-7A2237DBF189}"/>
            </c:ext>
          </c:extLst>
        </c:ser>
        <c:dLbls>
          <c:showLegendKey val="0"/>
          <c:showVal val="0"/>
          <c:showCatName val="0"/>
          <c:showSerName val="0"/>
          <c:showPercent val="0"/>
          <c:showBubbleSize val="0"/>
        </c:dLbls>
        <c:gapWidth val="150"/>
        <c:axId val="1665517344"/>
        <c:axId val="1665516256"/>
      </c:barChart>
      <c:catAx>
        <c:axId val="1665517344"/>
        <c:scaling>
          <c:orientation val="minMax"/>
        </c:scaling>
        <c:delete val="0"/>
        <c:axPos val="l"/>
        <c:numFmt formatCode="General" sourceLinked="1"/>
        <c:majorTickMark val="out"/>
        <c:minorTickMark val="none"/>
        <c:tickLblPos val="nextTo"/>
        <c:crossAx val="1665516256"/>
        <c:crosses val="autoZero"/>
        <c:auto val="1"/>
        <c:lblAlgn val="ctr"/>
        <c:lblOffset val="100"/>
        <c:noMultiLvlLbl val="0"/>
      </c:catAx>
      <c:valAx>
        <c:axId val="1665516256"/>
        <c:scaling>
          <c:orientation val="minMax"/>
          <c:max val="1"/>
          <c:min val="0"/>
        </c:scaling>
        <c:delete val="0"/>
        <c:axPos val="b"/>
        <c:majorGridlines/>
        <c:numFmt formatCode="0%" sourceLinked="1"/>
        <c:majorTickMark val="out"/>
        <c:minorTickMark val="none"/>
        <c:tickLblPos val="nextTo"/>
        <c:crossAx val="1665517344"/>
        <c:crosses val="autoZero"/>
        <c:crossBetween val="between"/>
      </c:valAx>
    </c:plotArea>
    <c:plotVisOnly val="1"/>
    <c:dispBlanksAs val="gap"/>
    <c:showDLblsOverMax val="0"/>
  </c:chart>
  <c:txPr>
    <a:bodyPr/>
    <a:lstStyle/>
    <a:p>
      <a:pPr>
        <a:defRPr sz="900">
          <a:latin typeface="돋움체" pitchFamily="49" charset="-127"/>
          <a:ea typeface="돋움체" pitchFamily="49" charset="-127"/>
        </a:defRPr>
      </a:pPr>
      <a:endParaRPr lang="ko-K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148167</xdr:colOff>
      <xdr:row>0</xdr:row>
      <xdr:rowOff>190500</xdr:rowOff>
    </xdr:from>
    <xdr:to>
      <xdr:col>16</xdr:col>
      <xdr:colOff>232833</xdr:colOff>
      <xdr:row>54</xdr:row>
      <xdr:rowOff>63500</xdr:rowOff>
    </xdr:to>
    <xdr:sp macro="" textlink="">
      <xdr:nvSpPr>
        <xdr:cNvPr id="2" name="직사각형 1">
          <a:extLst>
            <a:ext uri="{FF2B5EF4-FFF2-40B4-BE49-F238E27FC236}">
              <a16:creationId xmlns:a16="http://schemas.microsoft.com/office/drawing/2014/main" id="{91965DF7-784F-42F5-81ED-8E2FC7A2D55B}"/>
            </a:ext>
          </a:extLst>
        </xdr:cNvPr>
        <xdr:cNvSpPr/>
      </xdr:nvSpPr>
      <xdr:spPr>
        <a:xfrm>
          <a:off x="148167" y="171450"/>
          <a:ext cx="6637866" cy="9150350"/>
        </a:xfrm>
        <a:prstGeom prst="rect">
          <a:avLst/>
        </a:prstGeom>
        <a:noFill/>
        <a:ln w="19050">
          <a:solidFill>
            <a:srgbClr val="004EA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371475</xdr:colOff>
      <xdr:row>13</xdr:row>
      <xdr:rowOff>171449</xdr:rowOff>
    </xdr:from>
    <xdr:to>
      <xdr:col>15</xdr:col>
      <xdr:colOff>361950</xdr:colOff>
      <xdr:row>23</xdr:row>
      <xdr:rowOff>142875</xdr:rowOff>
    </xdr:to>
    <xdr:sp macro="" textlink="">
      <xdr:nvSpPr>
        <xdr:cNvPr id="3" name="직사각형 2">
          <a:extLst>
            <a:ext uri="{FF2B5EF4-FFF2-40B4-BE49-F238E27FC236}">
              <a16:creationId xmlns:a16="http://schemas.microsoft.com/office/drawing/2014/main" id="{7F86B1D5-A8FD-4F0F-950B-01508D8F0F4D}"/>
            </a:ext>
          </a:extLst>
        </xdr:cNvPr>
        <xdr:cNvSpPr/>
      </xdr:nvSpPr>
      <xdr:spPr>
        <a:xfrm>
          <a:off x="371475" y="2400299"/>
          <a:ext cx="6134100" cy="1685926"/>
        </a:xfrm>
        <a:prstGeom prst="rect">
          <a:avLst/>
        </a:prstGeom>
        <a:solidFill>
          <a:schemeClr val="bg1"/>
        </a:solidFill>
        <a:ln w="19050">
          <a:solidFill>
            <a:srgbClr val="004EA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400">
              <a:solidFill>
                <a:sysClr val="windowText" lastClr="000000"/>
              </a:solidFill>
              <a:effectLst/>
              <a:latin typeface="돋움체" panose="020B0609000101010101" pitchFamily="49" charset="-127"/>
              <a:ea typeface="돋움체" panose="020B0609000101010101" pitchFamily="49" charset="-127"/>
              <a:cs typeface="+mn-cs"/>
            </a:rPr>
            <a:t>아이디어정보기술 공공건설 계약심사 및 관리시스템 </a:t>
          </a:r>
          <a:r>
            <a:rPr lang="en-US" altLang="ko-KR" sz="2400">
              <a:solidFill>
                <a:sysClr val="windowText" lastClr="000000"/>
              </a:solidFill>
              <a:effectLst/>
              <a:latin typeface="돋움체" panose="020B0609000101010101" pitchFamily="49" charset="-127"/>
              <a:ea typeface="돋움체" panose="020B0609000101010101" pitchFamily="49" charset="-127"/>
              <a:cs typeface="+mn-cs"/>
            </a:rPr>
            <a:t>SaaS(</a:t>
          </a:r>
          <a:r>
            <a:rPr lang="ko-KR" altLang="en-US" sz="2400">
              <a:solidFill>
                <a:sysClr val="windowText" lastClr="000000"/>
              </a:solidFill>
              <a:effectLst/>
              <a:latin typeface="돋움체" panose="020B0609000101010101" pitchFamily="49" charset="-127"/>
              <a:ea typeface="돋움체" panose="020B0609000101010101" pitchFamily="49" charset="-127"/>
              <a:cs typeface="+mn-cs"/>
            </a:rPr>
            <a:t>간편</a:t>
          </a:r>
          <a:r>
            <a:rPr lang="en-US" altLang="ko-KR" sz="2400">
              <a:solidFill>
                <a:sysClr val="windowText" lastClr="000000"/>
              </a:solidFill>
              <a:effectLst/>
              <a:latin typeface="돋움체" panose="020B0609000101010101" pitchFamily="49" charset="-127"/>
              <a:ea typeface="돋움체" panose="020B0609000101010101" pitchFamily="49" charset="-127"/>
              <a:cs typeface="+mn-cs"/>
            </a:rPr>
            <a:t>) </a:t>
          </a:r>
          <a:r>
            <a:rPr lang="ko-KR" altLang="en-US" sz="2400">
              <a:solidFill>
                <a:sysClr val="windowText" lastClr="000000"/>
              </a:solidFill>
              <a:effectLst/>
              <a:latin typeface="돋움체" panose="020B0609000101010101" pitchFamily="49" charset="-127"/>
              <a:ea typeface="돋움체" panose="020B0609000101010101" pitchFamily="49" charset="-127"/>
              <a:cs typeface="+mn-cs"/>
            </a:rPr>
            <a:t>최초평가 </a:t>
          </a:r>
          <a:r>
            <a:rPr lang="en-US" altLang="ko-KR" sz="2400">
              <a:solidFill>
                <a:sysClr val="windowText" lastClr="000000"/>
              </a:solidFill>
              <a:effectLst/>
              <a:latin typeface="돋움체" panose="020B0609000101010101" pitchFamily="49" charset="-127"/>
              <a:ea typeface="돋움체" panose="020B0609000101010101" pitchFamily="49" charset="-127"/>
              <a:cs typeface="+mn-cs"/>
            </a:rPr>
            <a:t>CSAP </a:t>
          </a:r>
        </a:p>
        <a:p>
          <a:pPr algn="ctr"/>
          <a:r>
            <a:rPr lang="ko-KR" altLang="en-US" sz="2400">
              <a:solidFill>
                <a:sysClr val="windowText" lastClr="000000"/>
              </a:solidFill>
              <a:effectLst/>
              <a:latin typeface="돋움체" panose="020B0609000101010101" pitchFamily="49" charset="-127"/>
              <a:ea typeface="돋움체" panose="020B0609000101010101" pitchFamily="49" charset="-127"/>
              <a:cs typeface="+mn-cs"/>
            </a:rPr>
            <a:t>서버</a:t>
          </a:r>
          <a:r>
            <a:rPr lang="en-US" altLang="ko-KR" sz="2400">
              <a:solidFill>
                <a:sysClr val="windowText" lastClr="000000"/>
              </a:solidFill>
              <a:effectLst/>
              <a:latin typeface="돋움체" panose="020B0609000101010101" pitchFamily="49" charset="-127"/>
              <a:ea typeface="돋움체" panose="020B0609000101010101" pitchFamily="49" charset="-127"/>
              <a:cs typeface="+mn-cs"/>
            </a:rPr>
            <a:t>(Linux) </a:t>
          </a:r>
          <a:r>
            <a:rPr lang="ko-KR" altLang="ko-KR" sz="2400" baseline="0">
              <a:solidFill>
                <a:sysClr val="windowText" lastClr="000000"/>
              </a:solidFill>
              <a:effectLst/>
              <a:latin typeface="돋움체" panose="020B0609000101010101" pitchFamily="49" charset="-127"/>
              <a:ea typeface="돋움체" panose="020B0609000101010101" pitchFamily="49" charset="-127"/>
              <a:cs typeface="+mn-cs"/>
            </a:rPr>
            <a:t>취약점 </a:t>
          </a:r>
          <a:r>
            <a:rPr lang="ko-KR" altLang="en-US" sz="2400" baseline="0">
              <a:solidFill>
                <a:sysClr val="windowText" lastClr="000000"/>
              </a:solidFill>
              <a:effectLst/>
              <a:latin typeface="돋움체" panose="020B0609000101010101" pitchFamily="49" charset="-127"/>
              <a:ea typeface="돋움체" panose="020B0609000101010101" pitchFamily="49" charset="-127"/>
              <a:cs typeface="+mn-cs"/>
            </a:rPr>
            <a:t>본점검 </a:t>
          </a:r>
          <a:endParaRPr lang="en-US" altLang="ko-KR" sz="2400" baseline="0">
            <a:solidFill>
              <a:sysClr val="windowText" lastClr="000000"/>
            </a:solidFill>
            <a:effectLst/>
            <a:latin typeface="돋움체" panose="020B0609000101010101" pitchFamily="49" charset="-127"/>
            <a:ea typeface="돋움체" panose="020B0609000101010101" pitchFamily="49" charset="-127"/>
            <a:cs typeface="+mn-cs"/>
          </a:endParaRPr>
        </a:p>
        <a:p>
          <a:pPr algn="ctr"/>
          <a:r>
            <a:rPr lang="ko-KR" altLang="ko-KR" sz="2400" baseline="0">
              <a:solidFill>
                <a:sysClr val="windowText" lastClr="000000"/>
              </a:solidFill>
              <a:effectLst/>
              <a:latin typeface="돋움체" panose="020B0609000101010101" pitchFamily="49" charset="-127"/>
              <a:ea typeface="돋움체" panose="020B0609000101010101" pitchFamily="49" charset="-127"/>
              <a:cs typeface="+mn-cs"/>
            </a:rPr>
            <a:t>상세 결과</a:t>
          </a:r>
          <a:r>
            <a:rPr lang="ko-KR" altLang="en-US" sz="2400" baseline="0">
              <a:solidFill>
                <a:sysClr val="windowText" lastClr="000000"/>
              </a:solidFill>
              <a:effectLst/>
              <a:latin typeface="돋움체" panose="020B0609000101010101" pitchFamily="49" charset="-127"/>
              <a:ea typeface="돋움체" panose="020B0609000101010101" pitchFamily="49" charset="-127"/>
              <a:cs typeface="+mn-cs"/>
            </a:rPr>
            <a:t>보고서</a:t>
          </a:r>
          <a:endParaRPr lang="ko-KR" altLang="ko-KR" sz="2400">
            <a:solidFill>
              <a:sysClr val="windowText" lastClr="000000"/>
            </a:solidFill>
            <a:effectLst/>
            <a:latin typeface="돋움체" panose="020B0609000101010101" pitchFamily="49" charset="-127"/>
            <a:ea typeface="돋움체" panose="020B0609000101010101" pitchFamily="49" charset="-127"/>
          </a:endParaRPr>
        </a:p>
      </xdr:txBody>
    </xdr:sp>
    <xdr:clientData/>
  </xdr:twoCellAnchor>
  <xdr:oneCellAnchor>
    <xdr:from>
      <xdr:col>41</xdr:col>
      <xdr:colOff>444500</xdr:colOff>
      <xdr:row>18</xdr:row>
      <xdr:rowOff>0</xdr:rowOff>
    </xdr:from>
    <xdr:ext cx="184731" cy="264560"/>
    <xdr:sp macro="" textlink="">
      <xdr:nvSpPr>
        <xdr:cNvPr id="4" name="TextBox 3">
          <a:extLst>
            <a:ext uri="{FF2B5EF4-FFF2-40B4-BE49-F238E27FC236}">
              <a16:creationId xmlns:a16="http://schemas.microsoft.com/office/drawing/2014/main" id="{D06A75CF-9774-4388-BC26-ABBD363B951C}"/>
            </a:ext>
          </a:extLst>
        </xdr:cNvPr>
        <xdr:cNvSpPr txBox="1"/>
      </xdr:nvSpPr>
      <xdr:spPr>
        <a:xfrm>
          <a:off x="23590250" y="3086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twoCellAnchor>
    <xdr:from>
      <xdr:col>5</xdr:col>
      <xdr:colOff>0</xdr:colOff>
      <xdr:row>46</xdr:row>
      <xdr:rowOff>88130</xdr:rowOff>
    </xdr:from>
    <xdr:to>
      <xdr:col>12</xdr:col>
      <xdr:colOff>0</xdr:colOff>
      <xdr:row>49</xdr:row>
      <xdr:rowOff>0</xdr:rowOff>
    </xdr:to>
    <xdr:sp macro="" textlink="">
      <xdr:nvSpPr>
        <xdr:cNvPr id="5" name="직사각형 4">
          <a:extLst>
            <a:ext uri="{FF2B5EF4-FFF2-40B4-BE49-F238E27FC236}">
              <a16:creationId xmlns:a16="http://schemas.microsoft.com/office/drawing/2014/main" id="{D609DF0C-5F9C-4EBA-A6E1-0C2DDA4B2828}"/>
            </a:ext>
          </a:extLst>
        </xdr:cNvPr>
        <xdr:cNvSpPr/>
      </xdr:nvSpPr>
      <xdr:spPr>
        <a:xfrm>
          <a:off x="2047875" y="7974830"/>
          <a:ext cx="2867025" cy="426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2200">
              <a:solidFill>
                <a:sysClr val="windowText" lastClr="000000"/>
              </a:solidFill>
              <a:latin typeface="돋움체" pitchFamily="49" charset="-127"/>
              <a:ea typeface="돋움체" pitchFamily="49" charset="-127"/>
            </a:rPr>
            <a:t>2023.11.30</a:t>
          </a:r>
        </a:p>
      </xdr:txBody>
    </xdr:sp>
    <xdr:clientData/>
  </xdr:twoCellAnchor>
  <xdr:twoCellAnchor>
    <xdr:from>
      <xdr:col>13</xdr:col>
      <xdr:colOff>-1</xdr:colOff>
      <xdr:row>3</xdr:row>
      <xdr:rowOff>0</xdr:rowOff>
    </xdr:from>
    <xdr:to>
      <xdr:col>16</xdr:col>
      <xdr:colOff>-1</xdr:colOff>
      <xdr:row>5</xdr:row>
      <xdr:rowOff>0</xdr:rowOff>
    </xdr:to>
    <xdr:sp macro="" textlink="">
      <xdr:nvSpPr>
        <xdr:cNvPr id="6" name="직사각형 5">
          <a:extLst>
            <a:ext uri="{FF2B5EF4-FFF2-40B4-BE49-F238E27FC236}">
              <a16:creationId xmlns:a16="http://schemas.microsoft.com/office/drawing/2014/main" id="{7C160D0D-504A-4FAF-BBA8-3099E0C7BFE7}"/>
            </a:ext>
          </a:extLst>
        </xdr:cNvPr>
        <xdr:cNvSpPr/>
      </xdr:nvSpPr>
      <xdr:spPr>
        <a:xfrm>
          <a:off x="5324474" y="514350"/>
          <a:ext cx="1228725" cy="342900"/>
        </a:xfrm>
        <a:prstGeom prst="rect">
          <a:avLst/>
        </a:prstGeom>
        <a:solidFill>
          <a:schemeClr val="bg1"/>
        </a:solid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ko-KR" altLang="en-US" sz="2000">
              <a:solidFill>
                <a:srgbClr val="FF0000"/>
              </a:solidFill>
              <a:latin typeface="돋움체" pitchFamily="49" charset="-127"/>
              <a:ea typeface="돋움체" pitchFamily="49" charset="-127"/>
            </a:rPr>
            <a:t>대외비</a:t>
          </a:r>
        </a:p>
      </xdr:txBody>
    </xdr:sp>
    <xdr:clientData/>
  </xdr:twoCellAnchor>
  <xdr:twoCellAnchor editAs="oneCell">
    <xdr:from>
      <xdr:col>4</xdr:col>
      <xdr:colOff>123825</xdr:colOff>
      <xdr:row>48</xdr:row>
      <xdr:rowOff>57150</xdr:rowOff>
    </xdr:from>
    <xdr:to>
      <xdr:col>12</xdr:col>
      <xdr:colOff>342900</xdr:colOff>
      <xdr:row>53</xdr:row>
      <xdr:rowOff>142875</xdr:rowOff>
    </xdr:to>
    <xdr:pic>
      <xdr:nvPicPr>
        <xdr:cNvPr id="7" name="그림 6">
          <a:extLst>
            <a:ext uri="{FF2B5EF4-FFF2-40B4-BE49-F238E27FC236}">
              <a16:creationId xmlns:a16="http://schemas.microsoft.com/office/drawing/2014/main" id="{851A625F-9A24-4CE0-B602-41E6601D4D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2125" y="8286750"/>
          <a:ext cx="3495675" cy="942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963706</xdr:colOff>
      <xdr:row>5</xdr:row>
      <xdr:rowOff>0</xdr:rowOff>
    </xdr:from>
    <xdr:ext cx="95250" cy="695325"/>
    <xdr:sp macro="" textlink="">
      <xdr:nvSpPr>
        <xdr:cNvPr id="4" name="텍스트 56">
          <a:extLst>
            <a:ext uri="{FF2B5EF4-FFF2-40B4-BE49-F238E27FC236}">
              <a16:creationId xmlns:a16="http://schemas.microsoft.com/office/drawing/2014/main" id="{00000000-0008-0000-0100-000004000000}"/>
            </a:ext>
          </a:extLst>
        </xdr:cNvPr>
        <xdr:cNvSpPr txBox="1">
          <a:spLocks noChangeArrowheads="1"/>
        </xdr:cNvSpPr>
      </xdr:nvSpPr>
      <xdr:spPr bwMode="auto">
        <a:xfrm>
          <a:off x="1352326"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963706</xdr:colOff>
      <xdr:row>5</xdr:row>
      <xdr:rowOff>0</xdr:rowOff>
    </xdr:from>
    <xdr:ext cx="95250" cy="695325"/>
    <xdr:sp macro="" textlink="">
      <xdr:nvSpPr>
        <xdr:cNvPr id="5" name="텍스트 56">
          <a:extLst>
            <a:ext uri="{FF2B5EF4-FFF2-40B4-BE49-F238E27FC236}">
              <a16:creationId xmlns:a16="http://schemas.microsoft.com/office/drawing/2014/main" id="{00000000-0008-0000-0100-000005000000}"/>
            </a:ext>
          </a:extLst>
        </xdr:cNvPr>
        <xdr:cNvSpPr txBox="1">
          <a:spLocks noChangeArrowheads="1"/>
        </xdr:cNvSpPr>
      </xdr:nvSpPr>
      <xdr:spPr bwMode="auto">
        <a:xfrm>
          <a:off x="1352326"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6" name="텍스트 56">
          <a:extLst>
            <a:ext uri="{FF2B5EF4-FFF2-40B4-BE49-F238E27FC236}">
              <a16:creationId xmlns:a16="http://schemas.microsoft.com/office/drawing/2014/main" id="{00000000-0008-0000-0100-000006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390525</xdr:colOff>
      <xdr:row>5</xdr:row>
      <xdr:rowOff>0</xdr:rowOff>
    </xdr:from>
    <xdr:ext cx="95250" cy="695325"/>
    <xdr:sp macro="" textlink="">
      <xdr:nvSpPr>
        <xdr:cNvPr id="7" name="텍스트 56">
          <a:extLst>
            <a:ext uri="{FF2B5EF4-FFF2-40B4-BE49-F238E27FC236}">
              <a16:creationId xmlns:a16="http://schemas.microsoft.com/office/drawing/2014/main" id="{00000000-0008-0000-0100-000007000000}"/>
            </a:ext>
          </a:extLst>
        </xdr:cNvPr>
        <xdr:cNvSpPr txBox="1">
          <a:spLocks noChangeArrowheads="1"/>
        </xdr:cNvSpPr>
      </xdr:nvSpPr>
      <xdr:spPr bwMode="auto">
        <a:xfrm>
          <a:off x="7492365"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8" name="텍스트 56">
          <a:extLst>
            <a:ext uri="{FF2B5EF4-FFF2-40B4-BE49-F238E27FC236}">
              <a16:creationId xmlns:a16="http://schemas.microsoft.com/office/drawing/2014/main" id="{00000000-0008-0000-0100-000008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9" name="텍스트 56">
          <a:extLst>
            <a:ext uri="{FF2B5EF4-FFF2-40B4-BE49-F238E27FC236}">
              <a16:creationId xmlns:a16="http://schemas.microsoft.com/office/drawing/2014/main" id="{00000000-0008-0000-0100-000009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390525</xdr:colOff>
      <xdr:row>5</xdr:row>
      <xdr:rowOff>0</xdr:rowOff>
    </xdr:from>
    <xdr:ext cx="95250" cy="695325"/>
    <xdr:sp macro="" textlink="">
      <xdr:nvSpPr>
        <xdr:cNvPr id="10" name="텍스트 56">
          <a:extLst>
            <a:ext uri="{FF2B5EF4-FFF2-40B4-BE49-F238E27FC236}">
              <a16:creationId xmlns:a16="http://schemas.microsoft.com/office/drawing/2014/main" id="{00000000-0008-0000-0100-00000A000000}"/>
            </a:ext>
          </a:extLst>
        </xdr:cNvPr>
        <xdr:cNvSpPr txBox="1">
          <a:spLocks noChangeArrowheads="1"/>
        </xdr:cNvSpPr>
      </xdr:nvSpPr>
      <xdr:spPr bwMode="auto">
        <a:xfrm>
          <a:off x="7492365"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11" name="텍스트 56">
          <a:extLst>
            <a:ext uri="{FF2B5EF4-FFF2-40B4-BE49-F238E27FC236}">
              <a16:creationId xmlns:a16="http://schemas.microsoft.com/office/drawing/2014/main" id="{00000000-0008-0000-0100-00000B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12" name="텍스트 56">
          <a:extLst>
            <a:ext uri="{FF2B5EF4-FFF2-40B4-BE49-F238E27FC236}">
              <a16:creationId xmlns:a16="http://schemas.microsoft.com/office/drawing/2014/main" id="{00000000-0008-0000-0100-00000C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390525</xdr:colOff>
      <xdr:row>5</xdr:row>
      <xdr:rowOff>0</xdr:rowOff>
    </xdr:from>
    <xdr:ext cx="95250" cy="695325"/>
    <xdr:sp macro="" textlink="">
      <xdr:nvSpPr>
        <xdr:cNvPr id="13" name="텍스트 56">
          <a:extLst>
            <a:ext uri="{FF2B5EF4-FFF2-40B4-BE49-F238E27FC236}">
              <a16:creationId xmlns:a16="http://schemas.microsoft.com/office/drawing/2014/main" id="{00000000-0008-0000-0100-00000D000000}"/>
            </a:ext>
          </a:extLst>
        </xdr:cNvPr>
        <xdr:cNvSpPr txBox="1">
          <a:spLocks noChangeArrowheads="1"/>
        </xdr:cNvSpPr>
      </xdr:nvSpPr>
      <xdr:spPr bwMode="auto">
        <a:xfrm>
          <a:off x="7492365"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14" name="텍스트 56">
          <a:extLst>
            <a:ext uri="{FF2B5EF4-FFF2-40B4-BE49-F238E27FC236}">
              <a16:creationId xmlns:a16="http://schemas.microsoft.com/office/drawing/2014/main" id="{00000000-0008-0000-0100-00000E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15" name="텍스트 56">
          <a:extLst>
            <a:ext uri="{FF2B5EF4-FFF2-40B4-BE49-F238E27FC236}">
              <a16:creationId xmlns:a16="http://schemas.microsoft.com/office/drawing/2014/main" id="{00000000-0008-0000-0100-00000F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17" name="텍스트 56">
          <a:extLst>
            <a:ext uri="{FF2B5EF4-FFF2-40B4-BE49-F238E27FC236}">
              <a16:creationId xmlns:a16="http://schemas.microsoft.com/office/drawing/2014/main" id="{00000000-0008-0000-0100-000011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18" name="텍스트 56">
          <a:extLst>
            <a:ext uri="{FF2B5EF4-FFF2-40B4-BE49-F238E27FC236}">
              <a16:creationId xmlns:a16="http://schemas.microsoft.com/office/drawing/2014/main" id="{00000000-0008-0000-0100-000012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0" name="텍스트 56">
          <a:extLst>
            <a:ext uri="{FF2B5EF4-FFF2-40B4-BE49-F238E27FC236}">
              <a16:creationId xmlns:a16="http://schemas.microsoft.com/office/drawing/2014/main" id="{00000000-0008-0000-0100-000014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1" name="텍스트 56">
          <a:extLst>
            <a:ext uri="{FF2B5EF4-FFF2-40B4-BE49-F238E27FC236}">
              <a16:creationId xmlns:a16="http://schemas.microsoft.com/office/drawing/2014/main" id="{00000000-0008-0000-0100-000015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3" name="텍스트 56">
          <a:extLst>
            <a:ext uri="{FF2B5EF4-FFF2-40B4-BE49-F238E27FC236}">
              <a16:creationId xmlns:a16="http://schemas.microsoft.com/office/drawing/2014/main" id="{00000000-0008-0000-0100-000017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4" name="텍스트 56">
          <a:extLst>
            <a:ext uri="{FF2B5EF4-FFF2-40B4-BE49-F238E27FC236}">
              <a16:creationId xmlns:a16="http://schemas.microsoft.com/office/drawing/2014/main" id="{00000000-0008-0000-0100-000018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5" name="텍스트 56">
          <a:extLst>
            <a:ext uri="{FF2B5EF4-FFF2-40B4-BE49-F238E27FC236}">
              <a16:creationId xmlns:a16="http://schemas.microsoft.com/office/drawing/2014/main" id="{00000000-0008-0000-0100-000019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6" name="텍스트 56">
          <a:extLst>
            <a:ext uri="{FF2B5EF4-FFF2-40B4-BE49-F238E27FC236}">
              <a16:creationId xmlns:a16="http://schemas.microsoft.com/office/drawing/2014/main" id="{00000000-0008-0000-0100-00001A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7" name="텍스트 56">
          <a:extLst>
            <a:ext uri="{FF2B5EF4-FFF2-40B4-BE49-F238E27FC236}">
              <a16:creationId xmlns:a16="http://schemas.microsoft.com/office/drawing/2014/main" id="{00000000-0008-0000-0100-00001B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8" name="텍스트 56">
          <a:extLst>
            <a:ext uri="{FF2B5EF4-FFF2-40B4-BE49-F238E27FC236}">
              <a16:creationId xmlns:a16="http://schemas.microsoft.com/office/drawing/2014/main" id="{00000000-0008-0000-0100-00001C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29" name="텍스트 56">
          <a:extLst>
            <a:ext uri="{FF2B5EF4-FFF2-40B4-BE49-F238E27FC236}">
              <a16:creationId xmlns:a16="http://schemas.microsoft.com/office/drawing/2014/main" id="{00000000-0008-0000-0100-00001D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30" name="텍스트 56">
          <a:extLst>
            <a:ext uri="{FF2B5EF4-FFF2-40B4-BE49-F238E27FC236}">
              <a16:creationId xmlns:a16="http://schemas.microsoft.com/office/drawing/2014/main" id="{00000000-0008-0000-0100-00001E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31" name="텍스트 56">
          <a:extLst>
            <a:ext uri="{FF2B5EF4-FFF2-40B4-BE49-F238E27FC236}">
              <a16:creationId xmlns:a16="http://schemas.microsoft.com/office/drawing/2014/main" id="{00000000-0008-0000-0100-00001F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32" name="텍스트 56">
          <a:extLst>
            <a:ext uri="{FF2B5EF4-FFF2-40B4-BE49-F238E27FC236}">
              <a16:creationId xmlns:a16="http://schemas.microsoft.com/office/drawing/2014/main" id="{00000000-0008-0000-0100-000020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0</xdr:colOff>
      <xdr:row>5</xdr:row>
      <xdr:rowOff>0</xdr:rowOff>
    </xdr:from>
    <xdr:ext cx="95250" cy="695325"/>
    <xdr:sp macro="" textlink="">
      <xdr:nvSpPr>
        <xdr:cNvPr id="33" name="텍스트 56">
          <a:extLst>
            <a:ext uri="{FF2B5EF4-FFF2-40B4-BE49-F238E27FC236}">
              <a16:creationId xmlns:a16="http://schemas.microsoft.com/office/drawing/2014/main" id="{00000000-0008-0000-0100-000021000000}"/>
            </a:ext>
          </a:extLst>
        </xdr:cNvPr>
        <xdr:cNvSpPr txBox="1">
          <a:spLocks noChangeArrowheads="1"/>
        </xdr:cNvSpPr>
      </xdr:nvSpPr>
      <xdr:spPr bwMode="auto">
        <a:xfrm>
          <a:off x="7101840" y="293370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963706</xdr:colOff>
      <xdr:row>6</xdr:row>
      <xdr:rowOff>0</xdr:rowOff>
    </xdr:from>
    <xdr:ext cx="95250" cy="695325"/>
    <xdr:sp macro="" textlink="">
      <xdr:nvSpPr>
        <xdr:cNvPr id="34" name="텍스트 56">
          <a:extLst>
            <a:ext uri="{FF2B5EF4-FFF2-40B4-BE49-F238E27FC236}">
              <a16:creationId xmlns:a16="http://schemas.microsoft.com/office/drawing/2014/main" id="{8614C8C0-B9A2-4F2D-BDD6-AC1C7105B119}"/>
            </a:ext>
          </a:extLst>
        </xdr:cNvPr>
        <xdr:cNvSpPr txBox="1">
          <a:spLocks noChangeArrowheads="1"/>
        </xdr:cNvSpPr>
      </xdr:nvSpPr>
      <xdr:spPr bwMode="auto">
        <a:xfrm>
          <a:off x="6412006" y="85725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963706</xdr:colOff>
      <xdr:row>6</xdr:row>
      <xdr:rowOff>0</xdr:rowOff>
    </xdr:from>
    <xdr:ext cx="95250" cy="695325"/>
    <xdr:sp macro="" textlink="">
      <xdr:nvSpPr>
        <xdr:cNvPr id="35" name="텍스트 56">
          <a:extLst>
            <a:ext uri="{FF2B5EF4-FFF2-40B4-BE49-F238E27FC236}">
              <a16:creationId xmlns:a16="http://schemas.microsoft.com/office/drawing/2014/main" id="{4E469A6B-9919-4242-A8CB-CF7D549CA7DA}"/>
            </a:ext>
          </a:extLst>
        </xdr:cNvPr>
        <xdr:cNvSpPr txBox="1">
          <a:spLocks noChangeArrowheads="1"/>
        </xdr:cNvSpPr>
      </xdr:nvSpPr>
      <xdr:spPr bwMode="auto">
        <a:xfrm>
          <a:off x="6412006" y="85725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963706</xdr:colOff>
      <xdr:row>9</xdr:row>
      <xdr:rowOff>0</xdr:rowOff>
    </xdr:from>
    <xdr:ext cx="95250" cy="695325"/>
    <xdr:sp macro="" textlink="">
      <xdr:nvSpPr>
        <xdr:cNvPr id="36" name="텍스트 56">
          <a:extLst>
            <a:ext uri="{FF2B5EF4-FFF2-40B4-BE49-F238E27FC236}">
              <a16:creationId xmlns:a16="http://schemas.microsoft.com/office/drawing/2014/main" id="{E38C7EAE-5D33-4637-BE10-1588FB1F3BF1}"/>
            </a:ext>
          </a:extLst>
        </xdr:cNvPr>
        <xdr:cNvSpPr txBox="1">
          <a:spLocks noChangeArrowheads="1"/>
        </xdr:cNvSpPr>
      </xdr:nvSpPr>
      <xdr:spPr bwMode="auto">
        <a:xfrm>
          <a:off x="6412006" y="112395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963706</xdr:colOff>
      <xdr:row>9</xdr:row>
      <xdr:rowOff>0</xdr:rowOff>
    </xdr:from>
    <xdr:ext cx="95250" cy="695325"/>
    <xdr:sp macro="" textlink="">
      <xdr:nvSpPr>
        <xdr:cNvPr id="37" name="텍스트 56">
          <a:extLst>
            <a:ext uri="{FF2B5EF4-FFF2-40B4-BE49-F238E27FC236}">
              <a16:creationId xmlns:a16="http://schemas.microsoft.com/office/drawing/2014/main" id="{90D355EB-C7A9-4B66-8808-B8B2B737C2B1}"/>
            </a:ext>
          </a:extLst>
        </xdr:cNvPr>
        <xdr:cNvSpPr txBox="1">
          <a:spLocks noChangeArrowheads="1"/>
        </xdr:cNvSpPr>
      </xdr:nvSpPr>
      <xdr:spPr bwMode="auto">
        <a:xfrm>
          <a:off x="6412006" y="112395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963706</xdr:colOff>
      <xdr:row>11</xdr:row>
      <xdr:rowOff>0</xdr:rowOff>
    </xdr:from>
    <xdr:ext cx="95250" cy="695325"/>
    <xdr:sp macro="" textlink="">
      <xdr:nvSpPr>
        <xdr:cNvPr id="38" name="텍스트 56">
          <a:extLst>
            <a:ext uri="{FF2B5EF4-FFF2-40B4-BE49-F238E27FC236}">
              <a16:creationId xmlns:a16="http://schemas.microsoft.com/office/drawing/2014/main" id="{E93C7A82-6E5B-4EA1-ABFE-6D4E6E8BFFC4}"/>
            </a:ext>
          </a:extLst>
        </xdr:cNvPr>
        <xdr:cNvSpPr txBox="1">
          <a:spLocks noChangeArrowheads="1"/>
        </xdr:cNvSpPr>
      </xdr:nvSpPr>
      <xdr:spPr bwMode="auto">
        <a:xfrm>
          <a:off x="6412006" y="192405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963706</xdr:colOff>
      <xdr:row>11</xdr:row>
      <xdr:rowOff>0</xdr:rowOff>
    </xdr:from>
    <xdr:ext cx="95250" cy="695325"/>
    <xdr:sp macro="" textlink="">
      <xdr:nvSpPr>
        <xdr:cNvPr id="39" name="텍스트 56">
          <a:extLst>
            <a:ext uri="{FF2B5EF4-FFF2-40B4-BE49-F238E27FC236}">
              <a16:creationId xmlns:a16="http://schemas.microsoft.com/office/drawing/2014/main" id="{7F8081A3-7962-4EE9-9CD2-4F27CBDE9F8E}"/>
            </a:ext>
          </a:extLst>
        </xdr:cNvPr>
        <xdr:cNvSpPr txBox="1">
          <a:spLocks noChangeArrowheads="1"/>
        </xdr:cNvSpPr>
      </xdr:nvSpPr>
      <xdr:spPr bwMode="auto">
        <a:xfrm>
          <a:off x="6412006" y="1924050"/>
          <a:ext cx="952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123825</xdr:colOff>
      <xdr:row>11</xdr:row>
      <xdr:rowOff>1</xdr:rowOff>
    </xdr:from>
    <xdr:to>
      <xdr:col>11</xdr:col>
      <xdr:colOff>619125</xdr:colOff>
      <xdr:row>34</xdr:row>
      <xdr:rowOff>57151</xdr:rowOff>
    </xdr:to>
    <xdr:graphicFrame macro="">
      <xdr:nvGraphicFramePr>
        <xdr:cNvPr id="2" name="차트 2">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7C12EDF8-CC09-4C1A-BA45-329608862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39F2598B-423D-4632-983C-9542F2637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444E20ED-9ECD-4C75-A3B0-DCC89E075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6E6E6D46-BCCF-4BB1-AD54-7D773762B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F26DCBDE-2B87-48EF-BEFD-9D964025A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601EEF8A-880B-42EE-8ABE-A74A6E132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317587C1-AFAC-4BD2-8E05-85700DD41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D9B92BB1-B194-4D03-B3A2-426CA2926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9220C4D8-1146-4CB3-8B60-20D0930E5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DDEB4EF9-DF96-4DEB-8392-0A9895D8D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A037BB78-6FDE-49D3-AB2C-B8798E8B4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DDAB401B-8038-452C-917B-71631013B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3F69631D-A176-4A94-93C6-2AE05B171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C0460DE6-A8FC-4BF1-AECE-4BB628E48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4DA56794-340F-4113-913E-325D6F7D8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A99CE169-DDBC-4801-B6BE-EE7AEC1D0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95250</xdr:colOff>
      <xdr:row>3</xdr:row>
      <xdr:rowOff>0</xdr:rowOff>
    </xdr:from>
    <xdr:to>
      <xdr:col>11</xdr:col>
      <xdr:colOff>1905000</xdr:colOff>
      <xdr:row>16</xdr:row>
      <xdr:rowOff>0</xdr:rowOff>
    </xdr:to>
    <xdr:graphicFrame macro="">
      <xdr:nvGraphicFramePr>
        <xdr:cNvPr id="2" name="차트 1">
          <a:extLst>
            <a:ext uri="{FF2B5EF4-FFF2-40B4-BE49-F238E27FC236}">
              <a16:creationId xmlns:a16="http://schemas.microsoft.com/office/drawing/2014/main" id="{E056A4AB-F1A1-4239-8B94-811ABB3A1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D098-BD21-4BE0-9D11-43BE6D843B5B}">
  <dimension ref="A5:O44"/>
  <sheetViews>
    <sheetView showGridLines="0" tabSelected="1" view="pageBreakPreview" zoomScaleNormal="100" zoomScaleSheetLayoutView="100" workbookViewId="0"/>
  </sheetViews>
  <sheetFormatPr defaultRowHeight="15.6"/>
  <cols>
    <col min="1" max="18" width="5.3984375" style="1" customWidth="1"/>
    <col min="19" max="256" width="9" style="1"/>
    <col min="257" max="274" width="5.3984375" style="1" customWidth="1"/>
    <col min="275" max="512" width="9" style="1"/>
    <col min="513" max="530" width="5.3984375" style="1" customWidth="1"/>
    <col min="531" max="768" width="9" style="1"/>
    <col min="769" max="786" width="5.3984375" style="1" customWidth="1"/>
    <col min="787" max="1024" width="9" style="1"/>
    <col min="1025" max="1042" width="5.3984375" style="1" customWidth="1"/>
    <col min="1043" max="1280" width="9" style="1"/>
    <col min="1281" max="1298" width="5.3984375" style="1" customWidth="1"/>
    <col min="1299" max="1536" width="9" style="1"/>
    <col min="1537" max="1554" width="5.3984375" style="1" customWidth="1"/>
    <col min="1555" max="1792" width="9" style="1"/>
    <col min="1793" max="1810" width="5.3984375" style="1" customWidth="1"/>
    <col min="1811" max="2048" width="9" style="1"/>
    <col min="2049" max="2066" width="5.3984375" style="1" customWidth="1"/>
    <col min="2067" max="2304" width="9" style="1"/>
    <col min="2305" max="2322" width="5.3984375" style="1" customWidth="1"/>
    <col min="2323" max="2560" width="9" style="1"/>
    <col min="2561" max="2578" width="5.3984375" style="1" customWidth="1"/>
    <col min="2579" max="2816" width="9" style="1"/>
    <col min="2817" max="2834" width="5.3984375" style="1" customWidth="1"/>
    <col min="2835" max="3072" width="9" style="1"/>
    <col min="3073" max="3090" width="5.3984375" style="1" customWidth="1"/>
    <col min="3091" max="3328" width="9" style="1"/>
    <col min="3329" max="3346" width="5.3984375" style="1" customWidth="1"/>
    <col min="3347" max="3584" width="9" style="1"/>
    <col min="3585" max="3602" width="5.3984375" style="1" customWidth="1"/>
    <col min="3603" max="3840" width="9" style="1"/>
    <col min="3841" max="3858" width="5.3984375" style="1" customWidth="1"/>
    <col min="3859" max="4096" width="9" style="1"/>
    <col min="4097" max="4114" width="5.3984375" style="1" customWidth="1"/>
    <col min="4115" max="4352" width="9" style="1"/>
    <col min="4353" max="4370" width="5.3984375" style="1" customWidth="1"/>
    <col min="4371" max="4608" width="9" style="1"/>
    <col min="4609" max="4626" width="5.3984375" style="1" customWidth="1"/>
    <col min="4627" max="4864" width="9" style="1"/>
    <col min="4865" max="4882" width="5.3984375" style="1" customWidth="1"/>
    <col min="4883" max="5120" width="9" style="1"/>
    <col min="5121" max="5138" width="5.3984375" style="1" customWidth="1"/>
    <col min="5139" max="5376" width="9" style="1"/>
    <col min="5377" max="5394" width="5.3984375" style="1" customWidth="1"/>
    <col min="5395" max="5632" width="9" style="1"/>
    <col min="5633" max="5650" width="5.3984375" style="1" customWidth="1"/>
    <col min="5651" max="5888" width="9" style="1"/>
    <col min="5889" max="5906" width="5.3984375" style="1" customWidth="1"/>
    <col min="5907" max="6144" width="9" style="1"/>
    <col min="6145" max="6162" width="5.3984375" style="1" customWidth="1"/>
    <col min="6163" max="6400" width="9" style="1"/>
    <col min="6401" max="6418" width="5.3984375" style="1" customWidth="1"/>
    <col min="6419" max="6656" width="9" style="1"/>
    <col min="6657" max="6674" width="5.3984375" style="1" customWidth="1"/>
    <col min="6675" max="6912" width="9" style="1"/>
    <col min="6913" max="6930" width="5.3984375" style="1" customWidth="1"/>
    <col min="6931" max="7168" width="9" style="1"/>
    <col min="7169" max="7186" width="5.3984375" style="1" customWidth="1"/>
    <col min="7187" max="7424" width="9" style="1"/>
    <col min="7425" max="7442" width="5.3984375" style="1" customWidth="1"/>
    <col min="7443" max="7680" width="9" style="1"/>
    <col min="7681" max="7698" width="5.3984375" style="1" customWidth="1"/>
    <col min="7699" max="7936" width="9" style="1"/>
    <col min="7937" max="7954" width="5.3984375" style="1" customWidth="1"/>
    <col min="7955" max="8192" width="9" style="1"/>
    <col min="8193" max="8210" width="5.3984375" style="1" customWidth="1"/>
    <col min="8211" max="8448" width="9" style="1"/>
    <col min="8449" max="8466" width="5.3984375" style="1" customWidth="1"/>
    <col min="8467" max="8704" width="9" style="1"/>
    <col min="8705" max="8722" width="5.3984375" style="1" customWidth="1"/>
    <col min="8723" max="8960" width="9" style="1"/>
    <col min="8961" max="8978" width="5.3984375" style="1" customWidth="1"/>
    <col min="8979" max="9216" width="9" style="1"/>
    <col min="9217" max="9234" width="5.3984375" style="1" customWidth="1"/>
    <col min="9235" max="9472" width="9" style="1"/>
    <col min="9473" max="9490" width="5.3984375" style="1" customWidth="1"/>
    <col min="9491" max="9728" width="9" style="1"/>
    <col min="9729" max="9746" width="5.3984375" style="1" customWidth="1"/>
    <col min="9747" max="9984" width="9" style="1"/>
    <col min="9985" max="10002" width="5.3984375" style="1" customWidth="1"/>
    <col min="10003" max="10240" width="9" style="1"/>
    <col min="10241" max="10258" width="5.3984375" style="1" customWidth="1"/>
    <col min="10259" max="10496" width="9" style="1"/>
    <col min="10497" max="10514" width="5.3984375" style="1" customWidth="1"/>
    <col min="10515" max="10752" width="9" style="1"/>
    <col min="10753" max="10770" width="5.3984375" style="1" customWidth="1"/>
    <col min="10771" max="11008" width="9" style="1"/>
    <col min="11009" max="11026" width="5.3984375" style="1" customWidth="1"/>
    <col min="11027" max="11264" width="9" style="1"/>
    <col min="11265" max="11282" width="5.3984375" style="1" customWidth="1"/>
    <col min="11283" max="11520" width="9" style="1"/>
    <col min="11521" max="11538" width="5.3984375" style="1" customWidth="1"/>
    <col min="11539" max="11776" width="9" style="1"/>
    <col min="11777" max="11794" width="5.3984375" style="1" customWidth="1"/>
    <col min="11795" max="12032" width="9" style="1"/>
    <col min="12033" max="12050" width="5.3984375" style="1" customWidth="1"/>
    <col min="12051" max="12288" width="9" style="1"/>
    <col min="12289" max="12306" width="5.3984375" style="1" customWidth="1"/>
    <col min="12307" max="12544" width="9" style="1"/>
    <col min="12545" max="12562" width="5.3984375" style="1" customWidth="1"/>
    <col min="12563" max="12800" width="9" style="1"/>
    <col min="12801" max="12818" width="5.3984375" style="1" customWidth="1"/>
    <col min="12819" max="13056" width="9" style="1"/>
    <col min="13057" max="13074" width="5.3984375" style="1" customWidth="1"/>
    <col min="13075" max="13312" width="9" style="1"/>
    <col min="13313" max="13330" width="5.3984375" style="1" customWidth="1"/>
    <col min="13331" max="13568" width="9" style="1"/>
    <col min="13569" max="13586" width="5.3984375" style="1" customWidth="1"/>
    <col min="13587" max="13824" width="9" style="1"/>
    <col min="13825" max="13842" width="5.3984375" style="1" customWidth="1"/>
    <col min="13843" max="14080" width="9" style="1"/>
    <col min="14081" max="14098" width="5.3984375" style="1" customWidth="1"/>
    <col min="14099" max="14336" width="9" style="1"/>
    <col min="14337" max="14354" width="5.3984375" style="1" customWidth="1"/>
    <col min="14355" max="14592" width="9" style="1"/>
    <col min="14593" max="14610" width="5.3984375" style="1" customWidth="1"/>
    <col min="14611" max="14848" width="9" style="1"/>
    <col min="14849" max="14866" width="5.3984375" style="1" customWidth="1"/>
    <col min="14867" max="15104" width="9" style="1"/>
    <col min="15105" max="15122" width="5.3984375" style="1" customWidth="1"/>
    <col min="15123" max="15360" width="9" style="1"/>
    <col min="15361" max="15378" width="5.3984375" style="1" customWidth="1"/>
    <col min="15379" max="15616" width="9" style="1"/>
    <col min="15617" max="15634" width="5.3984375" style="1" customWidth="1"/>
    <col min="15635" max="15872" width="9" style="1"/>
    <col min="15873" max="15890" width="5.3984375" style="1" customWidth="1"/>
    <col min="15891" max="16128" width="9" style="1"/>
    <col min="16129" max="16146" width="5.3984375" style="1" customWidth="1"/>
    <col min="16147" max="16384" width="9" style="1"/>
  </cols>
  <sheetData>
    <row r="5" spans="1:15">
      <c r="J5" s="2"/>
    </row>
    <row r="6" spans="1:15">
      <c r="B6" s="3"/>
      <c r="C6" s="3"/>
      <c r="D6" s="3"/>
      <c r="E6" s="3"/>
      <c r="F6" s="3"/>
      <c r="G6" s="3"/>
      <c r="H6" s="3"/>
      <c r="I6" s="3"/>
      <c r="J6" s="2"/>
    </row>
    <row r="7" spans="1:15">
      <c r="J7" s="2"/>
    </row>
    <row r="8" spans="1:15" ht="13.5" customHeight="1">
      <c r="A8" s="4"/>
      <c r="B8" s="4"/>
      <c r="C8" s="4"/>
      <c r="D8" s="4"/>
      <c r="E8" s="4"/>
      <c r="F8" s="4"/>
      <c r="G8" s="4"/>
      <c r="H8" s="4"/>
      <c r="I8" s="4"/>
      <c r="J8" s="4"/>
      <c r="K8" s="4"/>
      <c r="L8" s="4"/>
      <c r="M8" s="4"/>
      <c r="N8" s="4"/>
      <c r="O8" s="4"/>
    </row>
    <row r="9" spans="1:15">
      <c r="A9" s="4"/>
      <c r="B9" s="4"/>
      <c r="C9" s="4"/>
      <c r="D9" s="4"/>
      <c r="E9" s="4"/>
      <c r="F9" s="4"/>
      <c r="G9" s="4"/>
      <c r="H9" s="4"/>
      <c r="I9" s="4"/>
      <c r="J9" s="4"/>
      <c r="K9" s="4"/>
      <c r="L9" s="4"/>
      <c r="M9" s="4"/>
      <c r="N9" s="4"/>
      <c r="O9" s="4"/>
    </row>
    <row r="10" spans="1:15">
      <c r="A10" s="4"/>
      <c r="B10" s="4"/>
      <c r="C10" s="4"/>
      <c r="D10" s="4"/>
      <c r="E10" s="4"/>
      <c r="F10" s="4"/>
      <c r="G10" s="4"/>
      <c r="H10" s="4"/>
      <c r="I10" s="4"/>
      <c r="J10" s="4"/>
      <c r="K10" s="4"/>
      <c r="L10" s="4"/>
      <c r="M10" s="4"/>
      <c r="N10" s="4"/>
      <c r="O10" s="4"/>
    </row>
    <row r="11" spans="1:15">
      <c r="A11" s="4"/>
      <c r="B11" s="4"/>
      <c r="C11" s="4"/>
      <c r="D11" s="4"/>
      <c r="E11" s="4"/>
      <c r="F11" s="4"/>
      <c r="G11" s="4"/>
      <c r="H11" s="4"/>
      <c r="I11" s="4"/>
      <c r="J11" s="4"/>
      <c r="K11" s="4"/>
      <c r="L11" s="4"/>
      <c r="M11" s="4"/>
      <c r="N11" s="4"/>
      <c r="O11" s="4"/>
    </row>
    <row r="12" spans="1:15">
      <c r="A12" s="4"/>
      <c r="B12" s="4"/>
      <c r="C12" s="4"/>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31" spans="1:15">
      <c r="A31" s="5"/>
      <c r="B31" s="5"/>
      <c r="C31" s="5"/>
      <c r="D31" s="5"/>
      <c r="E31" s="5"/>
      <c r="F31" s="5"/>
      <c r="G31" s="5"/>
      <c r="H31" s="5"/>
      <c r="I31" s="5"/>
      <c r="J31" s="5"/>
      <c r="K31" s="5"/>
      <c r="L31" s="5"/>
      <c r="M31" s="5"/>
      <c r="N31" s="5"/>
      <c r="O31" s="5"/>
    </row>
    <row r="32" spans="1:15">
      <c r="A32" s="5"/>
      <c r="B32" s="5"/>
      <c r="C32" s="5"/>
      <c r="D32" s="5"/>
      <c r="E32" s="5"/>
      <c r="F32" s="5"/>
      <c r="G32" s="5"/>
      <c r="H32" s="5"/>
      <c r="I32" s="5"/>
      <c r="J32" s="5"/>
      <c r="K32" s="5"/>
      <c r="L32" s="5"/>
      <c r="M32" s="5"/>
      <c r="N32" s="5"/>
      <c r="O32" s="5"/>
    </row>
    <row r="33" spans="1:15">
      <c r="A33" s="5"/>
      <c r="B33" s="5"/>
      <c r="C33" s="5"/>
      <c r="D33" s="5"/>
      <c r="E33" s="5"/>
      <c r="F33" s="5"/>
      <c r="G33" s="5"/>
      <c r="H33" s="5"/>
      <c r="I33" s="5"/>
      <c r="J33" s="5"/>
      <c r="K33" s="5"/>
      <c r="L33" s="5"/>
      <c r="M33" s="5"/>
      <c r="N33" s="5"/>
      <c r="O33" s="5"/>
    </row>
    <row r="34" spans="1:15">
      <c r="A34" s="5"/>
      <c r="B34" s="5"/>
      <c r="C34" s="5"/>
      <c r="D34" s="5"/>
      <c r="E34" s="5"/>
      <c r="F34" s="5"/>
      <c r="G34" s="5"/>
      <c r="H34" s="5"/>
      <c r="I34" s="5"/>
      <c r="J34" s="5"/>
      <c r="K34" s="5"/>
      <c r="L34" s="5"/>
      <c r="M34" s="5"/>
      <c r="N34" s="5"/>
      <c r="O34" s="5"/>
    </row>
    <row r="38" spans="1:15" ht="13.5" customHeight="1">
      <c r="A38" s="6"/>
      <c r="B38" s="6"/>
      <c r="C38" s="6"/>
      <c r="D38" s="6"/>
      <c r="E38" s="6"/>
      <c r="F38" s="6"/>
      <c r="G38" s="6"/>
      <c r="H38" s="6"/>
      <c r="I38" s="6"/>
      <c r="J38" s="6"/>
      <c r="K38" s="6"/>
      <c r="L38" s="6"/>
      <c r="M38" s="6"/>
      <c r="N38" s="6"/>
      <c r="O38" s="6"/>
    </row>
    <row r="39" spans="1:15">
      <c r="A39" s="6"/>
      <c r="B39" s="6"/>
      <c r="C39" s="6"/>
      <c r="D39" s="6"/>
      <c r="E39" s="6"/>
      <c r="F39" s="6"/>
      <c r="G39" s="6"/>
      <c r="H39" s="6"/>
      <c r="I39" s="6"/>
      <c r="J39" s="6"/>
      <c r="K39" s="6"/>
      <c r="L39" s="6"/>
      <c r="M39" s="6"/>
      <c r="N39" s="6"/>
      <c r="O39" s="6"/>
    </row>
    <row r="40" spans="1:15">
      <c r="A40" s="6"/>
      <c r="B40" s="6"/>
      <c r="C40" s="6"/>
      <c r="D40" s="6"/>
      <c r="E40" s="6"/>
      <c r="F40" s="6"/>
      <c r="G40" s="6"/>
      <c r="H40" s="6"/>
      <c r="I40" s="6"/>
      <c r="J40" s="6"/>
      <c r="K40" s="6"/>
      <c r="L40" s="6"/>
      <c r="M40" s="6"/>
      <c r="N40" s="6"/>
      <c r="O40" s="6"/>
    </row>
    <row r="41" spans="1:15">
      <c r="A41" s="6"/>
      <c r="B41" s="6"/>
      <c r="C41" s="6"/>
      <c r="D41" s="6"/>
      <c r="E41" s="6"/>
      <c r="F41" s="6"/>
      <c r="G41" s="6"/>
      <c r="H41" s="6"/>
      <c r="I41" s="6"/>
      <c r="J41" s="6"/>
      <c r="K41" s="6"/>
      <c r="L41" s="6"/>
      <c r="M41" s="6"/>
      <c r="N41" s="6"/>
      <c r="O41" s="6"/>
    </row>
    <row r="42" spans="1:15">
      <c r="A42" s="6"/>
      <c r="B42" s="6"/>
      <c r="C42" s="6"/>
      <c r="D42" s="6"/>
      <c r="E42" s="6"/>
      <c r="F42" s="6"/>
      <c r="G42" s="6"/>
      <c r="H42" s="6"/>
      <c r="I42" s="6"/>
      <c r="J42" s="6"/>
      <c r="K42" s="6"/>
      <c r="L42" s="6"/>
      <c r="M42" s="6"/>
      <c r="N42" s="6"/>
      <c r="O42" s="6"/>
    </row>
    <row r="43" spans="1:15">
      <c r="A43" s="6"/>
      <c r="B43" s="6"/>
      <c r="C43" s="6"/>
      <c r="D43" s="6"/>
      <c r="E43" s="6"/>
      <c r="F43" s="6"/>
      <c r="G43" s="6"/>
      <c r="H43" s="6"/>
      <c r="I43" s="6"/>
      <c r="J43" s="6"/>
      <c r="K43" s="6"/>
      <c r="L43" s="6"/>
      <c r="M43" s="6"/>
      <c r="N43" s="6"/>
      <c r="O43" s="6"/>
    </row>
    <row r="44" spans="1:15">
      <c r="A44" s="6"/>
      <c r="B44" s="6"/>
      <c r="C44" s="6"/>
      <c r="D44" s="6"/>
      <c r="E44" s="6"/>
      <c r="F44" s="6"/>
      <c r="G44" s="6"/>
      <c r="H44" s="6"/>
      <c r="I44" s="6"/>
      <c r="J44" s="6"/>
      <c r="K44" s="6"/>
      <c r="L44" s="6"/>
      <c r="M44" s="6"/>
      <c r="N44" s="6"/>
      <c r="O44" s="6"/>
    </row>
  </sheetData>
  <phoneticPr fontId="8" type="noConversion"/>
  <printOptions horizontalCentered="1"/>
  <pageMargins left="0.39370078740157483" right="0.39370078740157483" top="0.59055118110236227" bottom="0.59055118110236227" header="0.39370078740157483" footer="0.39370078740157483"/>
  <pageSetup paperSize="9" scale="85" fitToWidth="0"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showGridLines="0" view="pageBreakPreview" zoomScaleNormal="100" zoomScaleSheetLayoutView="100" workbookViewId="0"/>
  </sheetViews>
  <sheetFormatPr defaultRowHeight="9.6"/>
  <cols>
    <col min="1" max="1" width="9" style="8" bestFit="1" customWidth="1"/>
    <col min="2" max="2" width="24.59765625" style="8" customWidth="1"/>
    <col min="3" max="3" width="15.69921875" style="125" bestFit="1" customWidth="1"/>
    <col min="4" max="4" width="12.59765625" style="8" bestFit="1" customWidth="1"/>
    <col min="5" max="5" width="7.3984375" style="127" customWidth="1"/>
    <col min="6" max="6" width="8" style="127" bestFit="1" customWidth="1"/>
    <col min="7" max="7" width="27.8984375" style="8" bestFit="1" customWidth="1"/>
    <col min="8" max="8" width="20.19921875" style="8" bestFit="1" customWidth="1"/>
    <col min="9" max="9" width="7.19921875" style="8" customWidth="1"/>
    <col min="10" max="10" width="7.69921875" style="8" customWidth="1"/>
    <col min="11" max="11" width="3.5" style="8" bestFit="1" customWidth="1"/>
    <col min="12" max="255" width="8.69921875" style="8"/>
    <col min="256" max="256" width="4.09765625" style="8" customWidth="1"/>
    <col min="257" max="257" width="15.59765625" style="8" bestFit="1" customWidth="1"/>
    <col min="258" max="258" width="11.09765625" style="8" bestFit="1" customWidth="1"/>
    <col min="259" max="259" width="0" style="8" hidden="1" customWidth="1"/>
    <col min="260" max="260" width="7.5" style="8" customWidth="1"/>
    <col min="261" max="261" width="8.19921875" style="8" bestFit="1" customWidth="1"/>
    <col min="262" max="262" width="27.19921875" style="8" customWidth="1"/>
    <col min="263" max="263" width="13" style="8" customWidth="1"/>
    <col min="264" max="264" width="6.19921875" style="8" bestFit="1" customWidth="1"/>
    <col min="265" max="265" width="0" style="8" hidden="1" customWidth="1"/>
    <col min="266" max="266" width="3.5" style="8" bestFit="1" customWidth="1"/>
    <col min="267" max="511" width="8.69921875" style="8"/>
    <col min="512" max="512" width="4.09765625" style="8" customWidth="1"/>
    <col min="513" max="513" width="15.59765625" style="8" bestFit="1" customWidth="1"/>
    <col min="514" max="514" width="11.09765625" style="8" bestFit="1" customWidth="1"/>
    <col min="515" max="515" width="0" style="8" hidden="1" customWidth="1"/>
    <col min="516" max="516" width="7.5" style="8" customWidth="1"/>
    <col min="517" max="517" width="8.19921875" style="8" bestFit="1" customWidth="1"/>
    <col min="518" max="518" width="27.19921875" style="8" customWidth="1"/>
    <col min="519" max="519" width="13" style="8" customWidth="1"/>
    <col min="520" max="520" width="6.19921875" style="8" bestFit="1" customWidth="1"/>
    <col min="521" max="521" width="0" style="8" hidden="1" customWidth="1"/>
    <col min="522" max="522" width="3.5" style="8" bestFit="1" customWidth="1"/>
    <col min="523" max="767" width="8.69921875" style="8"/>
    <col min="768" max="768" width="4.09765625" style="8" customWidth="1"/>
    <col min="769" max="769" width="15.59765625" style="8" bestFit="1" customWidth="1"/>
    <col min="770" max="770" width="11.09765625" style="8" bestFit="1" customWidth="1"/>
    <col min="771" max="771" width="0" style="8" hidden="1" customWidth="1"/>
    <col min="772" max="772" width="7.5" style="8" customWidth="1"/>
    <col min="773" max="773" width="8.19921875" style="8" bestFit="1" customWidth="1"/>
    <col min="774" max="774" width="27.19921875" style="8" customWidth="1"/>
    <col min="775" max="775" width="13" style="8" customWidth="1"/>
    <col min="776" max="776" width="6.19921875" style="8" bestFit="1" customWidth="1"/>
    <col min="777" max="777" width="0" style="8" hidden="1" customWidth="1"/>
    <col min="778" max="778" width="3.5" style="8" bestFit="1" customWidth="1"/>
    <col min="779" max="1023" width="8.69921875" style="8"/>
    <col min="1024" max="1024" width="4.09765625" style="8" customWidth="1"/>
    <col min="1025" max="1025" width="15.59765625" style="8" bestFit="1" customWidth="1"/>
    <col min="1026" max="1026" width="11.09765625" style="8" bestFit="1" customWidth="1"/>
    <col min="1027" max="1027" width="0" style="8" hidden="1" customWidth="1"/>
    <col min="1028" max="1028" width="7.5" style="8" customWidth="1"/>
    <col min="1029" max="1029" width="8.19921875" style="8" bestFit="1" customWidth="1"/>
    <col min="1030" max="1030" width="27.19921875" style="8" customWidth="1"/>
    <col min="1031" max="1031" width="13" style="8" customWidth="1"/>
    <col min="1032" max="1032" width="6.19921875" style="8" bestFit="1" customWidth="1"/>
    <col min="1033" max="1033" width="0" style="8" hidden="1" customWidth="1"/>
    <col min="1034" max="1034" width="3.5" style="8" bestFit="1" customWidth="1"/>
    <col min="1035" max="1279" width="8.69921875" style="8"/>
    <col min="1280" max="1280" width="4.09765625" style="8" customWidth="1"/>
    <col min="1281" max="1281" width="15.59765625" style="8" bestFit="1" customWidth="1"/>
    <col min="1282" max="1282" width="11.09765625" style="8" bestFit="1" customWidth="1"/>
    <col min="1283" max="1283" width="0" style="8" hidden="1" customWidth="1"/>
    <col min="1284" max="1284" width="7.5" style="8" customWidth="1"/>
    <col min="1285" max="1285" width="8.19921875" style="8" bestFit="1" customWidth="1"/>
    <col min="1286" max="1286" width="27.19921875" style="8" customWidth="1"/>
    <col min="1287" max="1287" width="13" style="8" customWidth="1"/>
    <col min="1288" max="1288" width="6.19921875" style="8" bestFit="1" customWidth="1"/>
    <col min="1289" max="1289" width="0" style="8" hidden="1" customWidth="1"/>
    <col min="1290" max="1290" width="3.5" style="8" bestFit="1" customWidth="1"/>
    <col min="1291" max="1535" width="8.69921875" style="8"/>
    <col min="1536" max="1536" width="4.09765625" style="8" customWidth="1"/>
    <col min="1537" max="1537" width="15.59765625" style="8" bestFit="1" customWidth="1"/>
    <col min="1538" max="1538" width="11.09765625" style="8" bestFit="1" customWidth="1"/>
    <col min="1539" max="1539" width="0" style="8" hidden="1" customWidth="1"/>
    <col min="1540" max="1540" width="7.5" style="8" customWidth="1"/>
    <col min="1541" max="1541" width="8.19921875" style="8" bestFit="1" customWidth="1"/>
    <col min="1542" max="1542" width="27.19921875" style="8" customWidth="1"/>
    <col min="1543" max="1543" width="13" style="8" customWidth="1"/>
    <col min="1544" max="1544" width="6.19921875" style="8" bestFit="1" customWidth="1"/>
    <col min="1545" max="1545" width="0" style="8" hidden="1" customWidth="1"/>
    <col min="1546" max="1546" width="3.5" style="8" bestFit="1" customWidth="1"/>
    <col min="1547" max="1791" width="8.69921875" style="8"/>
    <col min="1792" max="1792" width="4.09765625" style="8" customWidth="1"/>
    <col min="1793" max="1793" width="15.59765625" style="8" bestFit="1" customWidth="1"/>
    <col min="1794" max="1794" width="11.09765625" style="8" bestFit="1" customWidth="1"/>
    <col min="1795" max="1795" width="0" style="8" hidden="1" customWidth="1"/>
    <col min="1796" max="1796" width="7.5" style="8" customWidth="1"/>
    <col min="1797" max="1797" width="8.19921875" style="8" bestFit="1" customWidth="1"/>
    <col min="1798" max="1798" width="27.19921875" style="8" customWidth="1"/>
    <col min="1799" max="1799" width="13" style="8" customWidth="1"/>
    <col min="1800" max="1800" width="6.19921875" style="8" bestFit="1" customWidth="1"/>
    <col min="1801" max="1801" width="0" style="8" hidden="1" customWidth="1"/>
    <col min="1802" max="1802" width="3.5" style="8" bestFit="1" customWidth="1"/>
    <col min="1803" max="2047" width="8.69921875" style="8"/>
    <col min="2048" max="2048" width="4.09765625" style="8" customWidth="1"/>
    <col min="2049" max="2049" width="15.59765625" style="8" bestFit="1" customWidth="1"/>
    <col min="2050" max="2050" width="11.09765625" style="8" bestFit="1" customWidth="1"/>
    <col min="2051" max="2051" width="0" style="8" hidden="1" customWidth="1"/>
    <col min="2052" max="2052" width="7.5" style="8" customWidth="1"/>
    <col min="2053" max="2053" width="8.19921875" style="8" bestFit="1" customWidth="1"/>
    <col min="2054" max="2054" width="27.19921875" style="8" customWidth="1"/>
    <col min="2055" max="2055" width="13" style="8" customWidth="1"/>
    <col min="2056" max="2056" width="6.19921875" style="8" bestFit="1" customWidth="1"/>
    <col min="2057" max="2057" width="0" style="8" hidden="1" customWidth="1"/>
    <col min="2058" max="2058" width="3.5" style="8" bestFit="1" customWidth="1"/>
    <col min="2059" max="2303" width="8.69921875" style="8"/>
    <col min="2304" max="2304" width="4.09765625" style="8" customWidth="1"/>
    <col min="2305" max="2305" width="15.59765625" style="8" bestFit="1" customWidth="1"/>
    <col min="2306" max="2306" width="11.09765625" style="8" bestFit="1" customWidth="1"/>
    <col min="2307" max="2307" width="0" style="8" hidden="1" customWidth="1"/>
    <col min="2308" max="2308" width="7.5" style="8" customWidth="1"/>
    <col min="2309" max="2309" width="8.19921875" style="8" bestFit="1" customWidth="1"/>
    <col min="2310" max="2310" width="27.19921875" style="8" customWidth="1"/>
    <col min="2311" max="2311" width="13" style="8" customWidth="1"/>
    <col min="2312" max="2312" width="6.19921875" style="8" bestFit="1" customWidth="1"/>
    <col min="2313" max="2313" width="0" style="8" hidden="1" customWidth="1"/>
    <col min="2314" max="2314" width="3.5" style="8" bestFit="1" customWidth="1"/>
    <col min="2315" max="2559" width="8.69921875" style="8"/>
    <col min="2560" max="2560" width="4.09765625" style="8" customWidth="1"/>
    <col min="2561" max="2561" width="15.59765625" style="8" bestFit="1" customWidth="1"/>
    <col min="2562" max="2562" width="11.09765625" style="8" bestFit="1" customWidth="1"/>
    <col min="2563" max="2563" width="0" style="8" hidden="1" customWidth="1"/>
    <col min="2564" max="2564" width="7.5" style="8" customWidth="1"/>
    <col min="2565" max="2565" width="8.19921875" style="8" bestFit="1" customWidth="1"/>
    <col min="2566" max="2566" width="27.19921875" style="8" customWidth="1"/>
    <col min="2567" max="2567" width="13" style="8" customWidth="1"/>
    <col min="2568" max="2568" width="6.19921875" style="8" bestFit="1" customWidth="1"/>
    <col min="2569" max="2569" width="0" style="8" hidden="1" customWidth="1"/>
    <col min="2570" max="2570" width="3.5" style="8" bestFit="1" customWidth="1"/>
    <col min="2571" max="2815" width="8.69921875" style="8"/>
    <col min="2816" max="2816" width="4.09765625" style="8" customWidth="1"/>
    <col min="2817" max="2817" width="15.59765625" style="8" bestFit="1" customWidth="1"/>
    <col min="2818" max="2818" width="11.09765625" style="8" bestFit="1" customWidth="1"/>
    <col min="2819" max="2819" width="0" style="8" hidden="1" customWidth="1"/>
    <col min="2820" max="2820" width="7.5" style="8" customWidth="1"/>
    <col min="2821" max="2821" width="8.19921875" style="8" bestFit="1" customWidth="1"/>
    <col min="2822" max="2822" width="27.19921875" style="8" customWidth="1"/>
    <col min="2823" max="2823" width="13" style="8" customWidth="1"/>
    <col min="2824" max="2824" width="6.19921875" style="8" bestFit="1" customWidth="1"/>
    <col min="2825" max="2825" width="0" style="8" hidden="1" customWidth="1"/>
    <col min="2826" max="2826" width="3.5" style="8" bestFit="1" customWidth="1"/>
    <col min="2827" max="3071" width="8.69921875" style="8"/>
    <col min="3072" max="3072" width="4.09765625" style="8" customWidth="1"/>
    <col min="3073" max="3073" width="15.59765625" style="8" bestFit="1" customWidth="1"/>
    <col min="3074" max="3074" width="11.09765625" style="8" bestFit="1" customWidth="1"/>
    <col min="3075" max="3075" width="0" style="8" hidden="1" customWidth="1"/>
    <col min="3076" max="3076" width="7.5" style="8" customWidth="1"/>
    <col min="3077" max="3077" width="8.19921875" style="8" bestFit="1" customWidth="1"/>
    <col min="3078" max="3078" width="27.19921875" style="8" customWidth="1"/>
    <col min="3079" max="3079" width="13" style="8" customWidth="1"/>
    <col min="3080" max="3080" width="6.19921875" style="8" bestFit="1" customWidth="1"/>
    <col min="3081" max="3081" width="0" style="8" hidden="1" customWidth="1"/>
    <col min="3082" max="3082" width="3.5" style="8" bestFit="1" customWidth="1"/>
    <col min="3083" max="3327" width="8.69921875" style="8"/>
    <col min="3328" max="3328" width="4.09765625" style="8" customWidth="1"/>
    <col min="3329" max="3329" width="15.59765625" style="8" bestFit="1" customWidth="1"/>
    <col min="3330" max="3330" width="11.09765625" style="8" bestFit="1" customWidth="1"/>
    <col min="3331" max="3331" width="0" style="8" hidden="1" customWidth="1"/>
    <col min="3332" max="3332" width="7.5" style="8" customWidth="1"/>
    <col min="3333" max="3333" width="8.19921875" style="8" bestFit="1" customWidth="1"/>
    <col min="3334" max="3334" width="27.19921875" style="8" customWidth="1"/>
    <col min="3335" max="3335" width="13" style="8" customWidth="1"/>
    <col min="3336" max="3336" width="6.19921875" style="8" bestFit="1" customWidth="1"/>
    <col min="3337" max="3337" width="0" style="8" hidden="1" customWidth="1"/>
    <col min="3338" max="3338" width="3.5" style="8" bestFit="1" customWidth="1"/>
    <col min="3339" max="3583" width="8.69921875" style="8"/>
    <col min="3584" max="3584" width="4.09765625" style="8" customWidth="1"/>
    <col min="3585" max="3585" width="15.59765625" style="8" bestFit="1" customWidth="1"/>
    <col min="3586" max="3586" width="11.09765625" style="8" bestFit="1" customWidth="1"/>
    <col min="3587" max="3587" width="0" style="8" hidden="1" customWidth="1"/>
    <col min="3588" max="3588" width="7.5" style="8" customWidth="1"/>
    <col min="3589" max="3589" width="8.19921875" style="8" bestFit="1" customWidth="1"/>
    <col min="3590" max="3590" width="27.19921875" style="8" customWidth="1"/>
    <col min="3591" max="3591" width="13" style="8" customWidth="1"/>
    <col min="3592" max="3592" width="6.19921875" style="8" bestFit="1" customWidth="1"/>
    <col min="3593" max="3593" width="0" style="8" hidden="1" customWidth="1"/>
    <col min="3594" max="3594" width="3.5" style="8" bestFit="1" customWidth="1"/>
    <col min="3595" max="3839" width="8.69921875" style="8"/>
    <col min="3840" max="3840" width="4.09765625" style="8" customWidth="1"/>
    <col min="3841" max="3841" width="15.59765625" style="8" bestFit="1" customWidth="1"/>
    <col min="3842" max="3842" width="11.09765625" style="8" bestFit="1" customWidth="1"/>
    <col min="3843" max="3843" width="0" style="8" hidden="1" customWidth="1"/>
    <col min="3844" max="3844" width="7.5" style="8" customWidth="1"/>
    <col min="3845" max="3845" width="8.19921875" style="8" bestFit="1" customWidth="1"/>
    <col min="3846" max="3846" width="27.19921875" style="8" customWidth="1"/>
    <col min="3847" max="3847" width="13" style="8" customWidth="1"/>
    <col min="3848" max="3848" width="6.19921875" style="8" bestFit="1" customWidth="1"/>
    <col min="3849" max="3849" width="0" style="8" hidden="1" customWidth="1"/>
    <col min="3850" max="3850" width="3.5" style="8" bestFit="1" customWidth="1"/>
    <col min="3851" max="4095" width="8.69921875" style="8"/>
    <col min="4096" max="4096" width="4.09765625" style="8" customWidth="1"/>
    <col min="4097" max="4097" width="15.59765625" style="8" bestFit="1" customWidth="1"/>
    <col min="4098" max="4098" width="11.09765625" style="8" bestFit="1" customWidth="1"/>
    <col min="4099" max="4099" width="0" style="8" hidden="1" customWidth="1"/>
    <col min="4100" max="4100" width="7.5" style="8" customWidth="1"/>
    <col min="4101" max="4101" width="8.19921875" style="8" bestFit="1" customWidth="1"/>
    <col min="4102" max="4102" width="27.19921875" style="8" customWidth="1"/>
    <col min="4103" max="4103" width="13" style="8" customWidth="1"/>
    <col min="4104" max="4104" width="6.19921875" style="8" bestFit="1" customWidth="1"/>
    <col min="4105" max="4105" width="0" style="8" hidden="1" customWidth="1"/>
    <col min="4106" max="4106" width="3.5" style="8" bestFit="1" customWidth="1"/>
    <col min="4107" max="4351" width="8.69921875" style="8"/>
    <col min="4352" max="4352" width="4.09765625" style="8" customWidth="1"/>
    <col min="4353" max="4353" width="15.59765625" style="8" bestFit="1" customWidth="1"/>
    <col min="4354" max="4354" width="11.09765625" style="8" bestFit="1" customWidth="1"/>
    <col min="4355" max="4355" width="0" style="8" hidden="1" customWidth="1"/>
    <col min="4356" max="4356" width="7.5" style="8" customWidth="1"/>
    <col min="4357" max="4357" width="8.19921875" style="8" bestFit="1" customWidth="1"/>
    <col min="4358" max="4358" width="27.19921875" style="8" customWidth="1"/>
    <col min="4359" max="4359" width="13" style="8" customWidth="1"/>
    <col min="4360" max="4360" width="6.19921875" style="8" bestFit="1" customWidth="1"/>
    <col min="4361" max="4361" width="0" style="8" hidden="1" customWidth="1"/>
    <col min="4362" max="4362" width="3.5" style="8" bestFit="1" customWidth="1"/>
    <col min="4363" max="4607" width="8.69921875" style="8"/>
    <col min="4608" max="4608" width="4.09765625" style="8" customWidth="1"/>
    <col min="4609" max="4609" width="15.59765625" style="8" bestFit="1" customWidth="1"/>
    <col min="4610" max="4610" width="11.09765625" style="8" bestFit="1" customWidth="1"/>
    <col min="4611" max="4611" width="0" style="8" hidden="1" customWidth="1"/>
    <col min="4612" max="4612" width="7.5" style="8" customWidth="1"/>
    <col min="4613" max="4613" width="8.19921875" style="8" bestFit="1" customWidth="1"/>
    <col min="4614" max="4614" width="27.19921875" style="8" customWidth="1"/>
    <col min="4615" max="4615" width="13" style="8" customWidth="1"/>
    <col min="4616" max="4616" width="6.19921875" style="8" bestFit="1" customWidth="1"/>
    <col min="4617" max="4617" width="0" style="8" hidden="1" customWidth="1"/>
    <col min="4618" max="4618" width="3.5" style="8" bestFit="1" customWidth="1"/>
    <col min="4619" max="4863" width="8.69921875" style="8"/>
    <col min="4864" max="4864" width="4.09765625" style="8" customWidth="1"/>
    <col min="4865" max="4865" width="15.59765625" style="8" bestFit="1" customWidth="1"/>
    <col min="4866" max="4866" width="11.09765625" style="8" bestFit="1" customWidth="1"/>
    <col min="4867" max="4867" width="0" style="8" hidden="1" customWidth="1"/>
    <col min="4868" max="4868" width="7.5" style="8" customWidth="1"/>
    <col min="4869" max="4869" width="8.19921875" style="8" bestFit="1" customWidth="1"/>
    <col min="4870" max="4870" width="27.19921875" style="8" customWidth="1"/>
    <col min="4871" max="4871" width="13" style="8" customWidth="1"/>
    <col min="4872" max="4872" width="6.19921875" style="8" bestFit="1" customWidth="1"/>
    <col min="4873" max="4873" width="0" style="8" hidden="1" customWidth="1"/>
    <col min="4874" max="4874" width="3.5" style="8" bestFit="1" customWidth="1"/>
    <col min="4875" max="5119" width="8.69921875" style="8"/>
    <col min="5120" max="5120" width="4.09765625" style="8" customWidth="1"/>
    <col min="5121" max="5121" width="15.59765625" style="8" bestFit="1" customWidth="1"/>
    <col min="5122" max="5122" width="11.09765625" style="8" bestFit="1" customWidth="1"/>
    <col min="5123" max="5123" width="0" style="8" hidden="1" customWidth="1"/>
    <col min="5124" max="5124" width="7.5" style="8" customWidth="1"/>
    <col min="5125" max="5125" width="8.19921875" style="8" bestFit="1" customWidth="1"/>
    <col min="5126" max="5126" width="27.19921875" style="8" customWidth="1"/>
    <col min="5127" max="5127" width="13" style="8" customWidth="1"/>
    <col min="5128" max="5128" width="6.19921875" style="8" bestFit="1" customWidth="1"/>
    <col min="5129" max="5129" width="0" style="8" hidden="1" customWidth="1"/>
    <col min="5130" max="5130" width="3.5" style="8" bestFit="1" customWidth="1"/>
    <col min="5131" max="5375" width="8.69921875" style="8"/>
    <col min="5376" max="5376" width="4.09765625" style="8" customWidth="1"/>
    <col min="5377" max="5377" width="15.59765625" style="8" bestFit="1" customWidth="1"/>
    <col min="5378" max="5378" width="11.09765625" style="8" bestFit="1" customWidth="1"/>
    <col min="5379" max="5379" width="0" style="8" hidden="1" customWidth="1"/>
    <col min="5380" max="5380" width="7.5" style="8" customWidth="1"/>
    <col min="5381" max="5381" width="8.19921875" style="8" bestFit="1" customWidth="1"/>
    <col min="5382" max="5382" width="27.19921875" style="8" customWidth="1"/>
    <col min="5383" max="5383" width="13" style="8" customWidth="1"/>
    <col min="5384" max="5384" width="6.19921875" style="8" bestFit="1" customWidth="1"/>
    <col min="5385" max="5385" width="0" style="8" hidden="1" customWidth="1"/>
    <col min="5386" max="5386" width="3.5" style="8" bestFit="1" customWidth="1"/>
    <col min="5387" max="5631" width="8.69921875" style="8"/>
    <col min="5632" max="5632" width="4.09765625" style="8" customWidth="1"/>
    <col min="5633" max="5633" width="15.59765625" style="8" bestFit="1" customWidth="1"/>
    <col min="5634" max="5634" width="11.09765625" style="8" bestFit="1" customWidth="1"/>
    <col min="5635" max="5635" width="0" style="8" hidden="1" customWidth="1"/>
    <col min="5636" max="5636" width="7.5" style="8" customWidth="1"/>
    <col min="5637" max="5637" width="8.19921875" style="8" bestFit="1" customWidth="1"/>
    <col min="5638" max="5638" width="27.19921875" style="8" customWidth="1"/>
    <col min="5639" max="5639" width="13" style="8" customWidth="1"/>
    <col min="5640" max="5640" width="6.19921875" style="8" bestFit="1" customWidth="1"/>
    <col min="5641" max="5641" width="0" style="8" hidden="1" customWidth="1"/>
    <col min="5642" max="5642" width="3.5" style="8" bestFit="1" customWidth="1"/>
    <col min="5643" max="5887" width="8.69921875" style="8"/>
    <col min="5888" max="5888" width="4.09765625" style="8" customWidth="1"/>
    <col min="5889" max="5889" width="15.59765625" style="8" bestFit="1" customWidth="1"/>
    <col min="5890" max="5890" width="11.09765625" style="8" bestFit="1" customWidth="1"/>
    <col min="5891" max="5891" width="0" style="8" hidden="1" customWidth="1"/>
    <col min="5892" max="5892" width="7.5" style="8" customWidth="1"/>
    <col min="5893" max="5893" width="8.19921875" style="8" bestFit="1" customWidth="1"/>
    <col min="5894" max="5894" width="27.19921875" style="8" customWidth="1"/>
    <col min="5895" max="5895" width="13" style="8" customWidth="1"/>
    <col min="5896" max="5896" width="6.19921875" style="8" bestFit="1" customWidth="1"/>
    <col min="5897" max="5897" width="0" style="8" hidden="1" customWidth="1"/>
    <col min="5898" max="5898" width="3.5" style="8" bestFit="1" customWidth="1"/>
    <col min="5899" max="6143" width="8.69921875" style="8"/>
    <col min="6144" max="6144" width="4.09765625" style="8" customWidth="1"/>
    <col min="6145" max="6145" width="15.59765625" style="8" bestFit="1" customWidth="1"/>
    <col min="6146" max="6146" width="11.09765625" style="8" bestFit="1" customWidth="1"/>
    <col min="6147" max="6147" width="0" style="8" hidden="1" customWidth="1"/>
    <col min="6148" max="6148" width="7.5" style="8" customWidth="1"/>
    <col min="6149" max="6149" width="8.19921875" style="8" bestFit="1" customWidth="1"/>
    <col min="6150" max="6150" width="27.19921875" style="8" customWidth="1"/>
    <col min="6151" max="6151" width="13" style="8" customWidth="1"/>
    <col min="6152" max="6152" width="6.19921875" style="8" bestFit="1" customWidth="1"/>
    <col min="6153" max="6153" width="0" style="8" hidden="1" customWidth="1"/>
    <col min="6154" max="6154" width="3.5" style="8" bestFit="1" customWidth="1"/>
    <col min="6155" max="6399" width="8.69921875" style="8"/>
    <col min="6400" max="6400" width="4.09765625" style="8" customWidth="1"/>
    <col min="6401" max="6401" width="15.59765625" style="8" bestFit="1" customWidth="1"/>
    <col min="6402" max="6402" width="11.09765625" style="8" bestFit="1" customWidth="1"/>
    <col min="6403" max="6403" width="0" style="8" hidden="1" customWidth="1"/>
    <col min="6404" max="6404" width="7.5" style="8" customWidth="1"/>
    <col min="6405" max="6405" width="8.19921875" style="8" bestFit="1" customWidth="1"/>
    <col min="6406" max="6406" width="27.19921875" style="8" customWidth="1"/>
    <col min="6407" max="6407" width="13" style="8" customWidth="1"/>
    <col min="6408" max="6408" width="6.19921875" style="8" bestFit="1" customWidth="1"/>
    <col min="6409" max="6409" width="0" style="8" hidden="1" customWidth="1"/>
    <col min="6410" max="6410" width="3.5" style="8" bestFit="1" customWidth="1"/>
    <col min="6411" max="6655" width="8.69921875" style="8"/>
    <col min="6656" max="6656" width="4.09765625" style="8" customWidth="1"/>
    <col min="6657" max="6657" width="15.59765625" style="8" bestFit="1" customWidth="1"/>
    <col min="6658" max="6658" width="11.09765625" style="8" bestFit="1" customWidth="1"/>
    <col min="6659" max="6659" width="0" style="8" hidden="1" customWidth="1"/>
    <col min="6660" max="6660" width="7.5" style="8" customWidth="1"/>
    <col min="6661" max="6661" width="8.19921875" style="8" bestFit="1" customWidth="1"/>
    <col min="6662" max="6662" width="27.19921875" style="8" customWidth="1"/>
    <col min="6663" max="6663" width="13" style="8" customWidth="1"/>
    <col min="6664" max="6664" width="6.19921875" style="8" bestFit="1" customWidth="1"/>
    <col min="6665" max="6665" width="0" style="8" hidden="1" customWidth="1"/>
    <col min="6666" max="6666" width="3.5" style="8" bestFit="1" customWidth="1"/>
    <col min="6667" max="6911" width="8.69921875" style="8"/>
    <col min="6912" max="6912" width="4.09765625" style="8" customWidth="1"/>
    <col min="6913" max="6913" width="15.59765625" style="8" bestFit="1" customWidth="1"/>
    <col min="6914" max="6914" width="11.09765625" style="8" bestFit="1" customWidth="1"/>
    <col min="6915" max="6915" width="0" style="8" hidden="1" customWidth="1"/>
    <col min="6916" max="6916" width="7.5" style="8" customWidth="1"/>
    <col min="6917" max="6917" width="8.19921875" style="8" bestFit="1" customWidth="1"/>
    <col min="6918" max="6918" width="27.19921875" style="8" customWidth="1"/>
    <col min="6919" max="6919" width="13" style="8" customWidth="1"/>
    <col min="6920" max="6920" width="6.19921875" style="8" bestFit="1" customWidth="1"/>
    <col min="6921" max="6921" width="0" style="8" hidden="1" customWidth="1"/>
    <col min="6922" max="6922" width="3.5" style="8" bestFit="1" customWidth="1"/>
    <col min="6923" max="7167" width="8.69921875" style="8"/>
    <col min="7168" max="7168" width="4.09765625" style="8" customWidth="1"/>
    <col min="7169" max="7169" width="15.59765625" style="8" bestFit="1" customWidth="1"/>
    <col min="7170" max="7170" width="11.09765625" style="8" bestFit="1" customWidth="1"/>
    <col min="7171" max="7171" width="0" style="8" hidden="1" customWidth="1"/>
    <col min="7172" max="7172" width="7.5" style="8" customWidth="1"/>
    <col min="7173" max="7173" width="8.19921875" style="8" bestFit="1" customWidth="1"/>
    <col min="7174" max="7174" width="27.19921875" style="8" customWidth="1"/>
    <col min="7175" max="7175" width="13" style="8" customWidth="1"/>
    <col min="7176" max="7176" width="6.19921875" style="8" bestFit="1" customWidth="1"/>
    <col min="7177" max="7177" width="0" style="8" hidden="1" customWidth="1"/>
    <col min="7178" max="7178" width="3.5" style="8" bestFit="1" customWidth="1"/>
    <col min="7179" max="7423" width="8.69921875" style="8"/>
    <col min="7424" max="7424" width="4.09765625" style="8" customWidth="1"/>
    <col min="7425" max="7425" width="15.59765625" style="8" bestFit="1" customWidth="1"/>
    <col min="7426" max="7426" width="11.09765625" style="8" bestFit="1" customWidth="1"/>
    <col min="7427" max="7427" width="0" style="8" hidden="1" customWidth="1"/>
    <col min="7428" max="7428" width="7.5" style="8" customWidth="1"/>
    <col min="7429" max="7429" width="8.19921875" style="8" bestFit="1" customWidth="1"/>
    <col min="7430" max="7430" width="27.19921875" style="8" customWidth="1"/>
    <col min="7431" max="7431" width="13" style="8" customWidth="1"/>
    <col min="7432" max="7432" width="6.19921875" style="8" bestFit="1" customWidth="1"/>
    <col min="7433" max="7433" width="0" style="8" hidden="1" customWidth="1"/>
    <col min="7434" max="7434" width="3.5" style="8" bestFit="1" customWidth="1"/>
    <col min="7435" max="7679" width="8.69921875" style="8"/>
    <col min="7680" max="7680" width="4.09765625" style="8" customWidth="1"/>
    <col min="7681" max="7681" width="15.59765625" style="8" bestFit="1" customWidth="1"/>
    <col min="7682" max="7682" width="11.09765625" style="8" bestFit="1" customWidth="1"/>
    <col min="7683" max="7683" width="0" style="8" hidden="1" customWidth="1"/>
    <col min="7684" max="7684" width="7.5" style="8" customWidth="1"/>
    <col min="7685" max="7685" width="8.19921875" style="8" bestFit="1" customWidth="1"/>
    <col min="7686" max="7686" width="27.19921875" style="8" customWidth="1"/>
    <col min="7687" max="7687" width="13" style="8" customWidth="1"/>
    <col min="7688" max="7688" width="6.19921875" style="8" bestFit="1" customWidth="1"/>
    <col min="7689" max="7689" width="0" style="8" hidden="1" customWidth="1"/>
    <col min="7690" max="7690" width="3.5" style="8" bestFit="1" customWidth="1"/>
    <col min="7691" max="7935" width="8.69921875" style="8"/>
    <col min="7936" max="7936" width="4.09765625" style="8" customWidth="1"/>
    <col min="7937" max="7937" width="15.59765625" style="8" bestFit="1" customWidth="1"/>
    <col min="7938" max="7938" width="11.09765625" style="8" bestFit="1" customWidth="1"/>
    <col min="7939" max="7939" width="0" style="8" hidden="1" customWidth="1"/>
    <col min="7940" max="7940" width="7.5" style="8" customWidth="1"/>
    <col min="7941" max="7941" width="8.19921875" style="8" bestFit="1" customWidth="1"/>
    <col min="7942" max="7942" width="27.19921875" style="8" customWidth="1"/>
    <col min="7943" max="7943" width="13" style="8" customWidth="1"/>
    <col min="7944" max="7944" width="6.19921875" style="8" bestFit="1" customWidth="1"/>
    <col min="7945" max="7945" width="0" style="8" hidden="1" customWidth="1"/>
    <col min="7946" max="7946" width="3.5" style="8" bestFit="1" customWidth="1"/>
    <col min="7947" max="8191" width="8.69921875" style="8"/>
    <col min="8192" max="8192" width="4.09765625" style="8" customWidth="1"/>
    <col min="8193" max="8193" width="15.59765625" style="8" bestFit="1" customWidth="1"/>
    <col min="8194" max="8194" width="11.09765625" style="8" bestFit="1" customWidth="1"/>
    <col min="8195" max="8195" width="0" style="8" hidden="1" customWidth="1"/>
    <col min="8196" max="8196" width="7.5" style="8" customWidth="1"/>
    <col min="8197" max="8197" width="8.19921875" style="8" bestFit="1" customWidth="1"/>
    <col min="8198" max="8198" width="27.19921875" style="8" customWidth="1"/>
    <col min="8199" max="8199" width="13" style="8" customWidth="1"/>
    <col min="8200" max="8200" width="6.19921875" style="8" bestFit="1" customWidth="1"/>
    <col min="8201" max="8201" width="0" style="8" hidden="1" customWidth="1"/>
    <col min="8202" max="8202" width="3.5" style="8" bestFit="1" customWidth="1"/>
    <col min="8203" max="8447" width="8.69921875" style="8"/>
    <col min="8448" max="8448" width="4.09765625" style="8" customWidth="1"/>
    <col min="8449" max="8449" width="15.59765625" style="8" bestFit="1" customWidth="1"/>
    <col min="8450" max="8450" width="11.09765625" style="8" bestFit="1" customWidth="1"/>
    <col min="8451" max="8451" width="0" style="8" hidden="1" customWidth="1"/>
    <col min="8452" max="8452" width="7.5" style="8" customWidth="1"/>
    <col min="8453" max="8453" width="8.19921875" style="8" bestFit="1" customWidth="1"/>
    <col min="8454" max="8454" width="27.19921875" style="8" customWidth="1"/>
    <col min="8455" max="8455" width="13" style="8" customWidth="1"/>
    <col min="8456" max="8456" width="6.19921875" style="8" bestFit="1" customWidth="1"/>
    <col min="8457" max="8457" width="0" style="8" hidden="1" customWidth="1"/>
    <col min="8458" max="8458" width="3.5" style="8" bestFit="1" customWidth="1"/>
    <col min="8459" max="8703" width="8.69921875" style="8"/>
    <col min="8704" max="8704" width="4.09765625" style="8" customWidth="1"/>
    <col min="8705" max="8705" width="15.59765625" style="8" bestFit="1" customWidth="1"/>
    <col min="8706" max="8706" width="11.09765625" style="8" bestFit="1" customWidth="1"/>
    <col min="8707" max="8707" width="0" style="8" hidden="1" customWidth="1"/>
    <col min="8708" max="8708" width="7.5" style="8" customWidth="1"/>
    <col min="8709" max="8709" width="8.19921875" style="8" bestFit="1" customWidth="1"/>
    <col min="8710" max="8710" width="27.19921875" style="8" customWidth="1"/>
    <col min="8711" max="8711" width="13" style="8" customWidth="1"/>
    <col min="8712" max="8712" width="6.19921875" style="8" bestFit="1" customWidth="1"/>
    <col min="8713" max="8713" width="0" style="8" hidden="1" customWidth="1"/>
    <col min="8714" max="8714" width="3.5" style="8" bestFit="1" customWidth="1"/>
    <col min="8715" max="8959" width="8.69921875" style="8"/>
    <col min="8960" max="8960" width="4.09765625" style="8" customWidth="1"/>
    <col min="8961" max="8961" width="15.59765625" style="8" bestFit="1" customWidth="1"/>
    <col min="8962" max="8962" width="11.09765625" style="8" bestFit="1" customWidth="1"/>
    <col min="8963" max="8963" width="0" style="8" hidden="1" customWidth="1"/>
    <col min="8964" max="8964" width="7.5" style="8" customWidth="1"/>
    <col min="8965" max="8965" width="8.19921875" style="8" bestFit="1" customWidth="1"/>
    <col min="8966" max="8966" width="27.19921875" style="8" customWidth="1"/>
    <col min="8967" max="8967" width="13" style="8" customWidth="1"/>
    <col min="8968" max="8968" width="6.19921875" style="8" bestFit="1" customWidth="1"/>
    <col min="8969" max="8969" width="0" style="8" hidden="1" customWidth="1"/>
    <col min="8970" max="8970" width="3.5" style="8" bestFit="1" customWidth="1"/>
    <col min="8971" max="9215" width="8.69921875" style="8"/>
    <col min="9216" max="9216" width="4.09765625" style="8" customWidth="1"/>
    <col min="9217" max="9217" width="15.59765625" style="8" bestFit="1" customWidth="1"/>
    <col min="9218" max="9218" width="11.09765625" style="8" bestFit="1" customWidth="1"/>
    <col min="9219" max="9219" width="0" style="8" hidden="1" customWidth="1"/>
    <col min="9220" max="9220" width="7.5" style="8" customWidth="1"/>
    <col min="9221" max="9221" width="8.19921875" style="8" bestFit="1" customWidth="1"/>
    <col min="9222" max="9222" width="27.19921875" style="8" customWidth="1"/>
    <col min="9223" max="9223" width="13" style="8" customWidth="1"/>
    <col min="9224" max="9224" width="6.19921875" style="8" bestFit="1" customWidth="1"/>
    <col min="9225" max="9225" width="0" style="8" hidden="1" customWidth="1"/>
    <col min="9226" max="9226" width="3.5" style="8" bestFit="1" customWidth="1"/>
    <col min="9227" max="9471" width="8.69921875" style="8"/>
    <col min="9472" max="9472" width="4.09765625" style="8" customWidth="1"/>
    <col min="9473" max="9473" width="15.59765625" style="8" bestFit="1" customWidth="1"/>
    <col min="9474" max="9474" width="11.09765625" style="8" bestFit="1" customWidth="1"/>
    <col min="9475" max="9475" width="0" style="8" hidden="1" customWidth="1"/>
    <col min="9476" max="9476" width="7.5" style="8" customWidth="1"/>
    <col min="9477" max="9477" width="8.19921875" style="8" bestFit="1" customWidth="1"/>
    <col min="9478" max="9478" width="27.19921875" style="8" customWidth="1"/>
    <col min="9479" max="9479" width="13" style="8" customWidth="1"/>
    <col min="9480" max="9480" width="6.19921875" style="8" bestFit="1" customWidth="1"/>
    <col min="9481" max="9481" width="0" style="8" hidden="1" customWidth="1"/>
    <col min="9482" max="9482" width="3.5" style="8" bestFit="1" customWidth="1"/>
    <col min="9483" max="9727" width="8.69921875" style="8"/>
    <col min="9728" max="9728" width="4.09765625" style="8" customWidth="1"/>
    <col min="9729" max="9729" width="15.59765625" style="8" bestFit="1" customWidth="1"/>
    <col min="9730" max="9730" width="11.09765625" style="8" bestFit="1" customWidth="1"/>
    <col min="9731" max="9731" width="0" style="8" hidden="1" customWidth="1"/>
    <col min="9732" max="9732" width="7.5" style="8" customWidth="1"/>
    <col min="9733" max="9733" width="8.19921875" style="8" bestFit="1" customWidth="1"/>
    <col min="9734" max="9734" width="27.19921875" style="8" customWidth="1"/>
    <col min="9735" max="9735" width="13" style="8" customWidth="1"/>
    <col min="9736" max="9736" width="6.19921875" style="8" bestFit="1" customWidth="1"/>
    <col min="9737" max="9737" width="0" style="8" hidden="1" customWidth="1"/>
    <col min="9738" max="9738" width="3.5" style="8" bestFit="1" customWidth="1"/>
    <col min="9739" max="9983" width="8.69921875" style="8"/>
    <col min="9984" max="9984" width="4.09765625" style="8" customWidth="1"/>
    <col min="9985" max="9985" width="15.59765625" style="8" bestFit="1" customWidth="1"/>
    <col min="9986" max="9986" width="11.09765625" style="8" bestFit="1" customWidth="1"/>
    <col min="9987" max="9987" width="0" style="8" hidden="1" customWidth="1"/>
    <col min="9988" max="9988" width="7.5" style="8" customWidth="1"/>
    <col min="9989" max="9989" width="8.19921875" style="8" bestFit="1" customWidth="1"/>
    <col min="9990" max="9990" width="27.19921875" style="8" customWidth="1"/>
    <col min="9991" max="9991" width="13" style="8" customWidth="1"/>
    <col min="9992" max="9992" width="6.19921875" style="8" bestFit="1" customWidth="1"/>
    <col min="9993" max="9993" width="0" style="8" hidden="1" customWidth="1"/>
    <col min="9994" max="9994" width="3.5" style="8" bestFit="1" customWidth="1"/>
    <col min="9995" max="10239" width="8.69921875" style="8"/>
    <col min="10240" max="10240" width="4.09765625" style="8" customWidth="1"/>
    <col min="10241" max="10241" width="15.59765625" style="8" bestFit="1" customWidth="1"/>
    <col min="10242" max="10242" width="11.09765625" style="8" bestFit="1" customWidth="1"/>
    <col min="10243" max="10243" width="0" style="8" hidden="1" customWidth="1"/>
    <col min="10244" max="10244" width="7.5" style="8" customWidth="1"/>
    <col min="10245" max="10245" width="8.19921875" style="8" bestFit="1" customWidth="1"/>
    <col min="10246" max="10246" width="27.19921875" style="8" customWidth="1"/>
    <col min="10247" max="10247" width="13" style="8" customWidth="1"/>
    <col min="10248" max="10248" width="6.19921875" style="8" bestFit="1" customWidth="1"/>
    <col min="10249" max="10249" width="0" style="8" hidden="1" customWidth="1"/>
    <col min="10250" max="10250" width="3.5" style="8" bestFit="1" customWidth="1"/>
    <col min="10251" max="10495" width="8.69921875" style="8"/>
    <col min="10496" max="10496" width="4.09765625" style="8" customWidth="1"/>
    <col min="10497" max="10497" width="15.59765625" style="8" bestFit="1" customWidth="1"/>
    <col min="10498" max="10498" width="11.09765625" style="8" bestFit="1" customWidth="1"/>
    <col min="10499" max="10499" width="0" style="8" hidden="1" customWidth="1"/>
    <col min="10500" max="10500" width="7.5" style="8" customWidth="1"/>
    <col min="10501" max="10501" width="8.19921875" style="8" bestFit="1" customWidth="1"/>
    <col min="10502" max="10502" width="27.19921875" style="8" customWidth="1"/>
    <col min="10503" max="10503" width="13" style="8" customWidth="1"/>
    <col min="10504" max="10504" width="6.19921875" style="8" bestFit="1" customWidth="1"/>
    <col min="10505" max="10505" width="0" style="8" hidden="1" customWidth="1"/>
    <col min="10506" max="10506" width="3.5" style="8" bestFit="1" customWidth="1"/>
    <col min="10507" max="10751" width="8.69921875" style="8"/>
    <col min="10752" max="10752" width="4.09765625" style="8" customWidth="1"/>
    <col min="10753" max="10753" width="15.59765625" style="8" bestFit="1" customWidth="1"/>
    <col min="10754" max="10754" width="11.09765625" style="8" bestFit="1" customWidth="1"/>
    <col min="10755" max="10755" width="0" style="8" hidden="1" customWidth="1"/>
    <col min="10756" max="10756" width="7.5" style="8" customWidth="1"/>
    <col min="10757" max="10757" width="8.19921875" style="8" bestFit="1" customWidth="1"/>
    <col min="10758" max="10758" width="27.19921875" style="8" customWidth="1"/>
    <col min="10759" max="10759" width="13" style="8" customWidth="1"/>
    <col min="10760" max="10760" width="6.19921875" style="8" bestFit="1" customWidth="1"/>
    <col min="10761" max="10761" width="0" style="8" hidden="1" customWidth="1"/>
    <col min="10762" max="10762" width="3.5" style="8" bestFit="1" customWidth="1"/>
    <col min="10763" max="11007" width="8.69921875" style="8"/>
    <col min="11008" max="11008" width="4.09765625" style="8" customWidth="1"/>
    <col min="11009" max="11009" width="15.59765625" style="8" bestFit="1" customWidth="1"/>
    <col min="11010" max="11010" width="11.09765625" style="8" bestFit="1" customWidth="1"/>
    <col min="11011" max="11011" width="0" style="8" hidden="1" customWidth="1"/>
    <col min="11012" max="11012" width="7.5" style="8" customWidth="1"/>
    <col min="11013" max="11013" width="8.19921875" style="8" bestFit="1" customWidth="1"/>
    <col min="11014" max="11014" width="27.19921875" style="8" customWidth="1"/>
    <col min="11015" max="11015" width="13" style="8" customWidth="1"/>
    <col min="11016" max="11016" width="6.19921875" style="8" bestFit="1" customWidth="1"/>
    <col min="11017" max="11017" width="0" style="8" hidden="1" customWidth="1"/>
    <col min="11018" max="11018" width="3.5" style="8" bestFit="1" customWidth="1"/>
    <col min="11019" max="11263" width="8.69921875" style="8"/>
    <col min="11264" max="11264" width="4.09765625" style="8" customWidth="1"/>
    <col min="11265" max="11265" width="15.59765625" style="8" bestFit="1" customWidth="1"/>
    <col min="11266" max="11266" width="11.09765625" style="8" bestFit="1" customWidth="1"/>
    <col min="11267" max="11267" width="0" style="8" hidden="1" customWidth="1"/>
    <col min="11268" max="11268" width="7.5" style="8" customWidth="1"/>
    <col min="11269" max="11269" width="8.19921875" style="8" bestFit="1" customWidth="1"/>
    <col min="11270" max="11270" width="27.19921875" style="8" customWidth="1"/>
    <col min="11271" max="11271" width="13" style="8" customWidth="1"/>
    <col min="11272" max="11272" width="6.19921875" style="8" bestFit="1" customWidth="1"/>
    <col min="11273" max="11273" width="0" style="8" hidden="1" customWidth="1"/>
    <col min="11274" max="11274" width="3.5" style="8" bestFit="1" customWidth="1"/>
    <col min="11275" max="11519" width="8.69921875" style="8"/>
    <col min="11520" max="11520" width="4.09765625" style="8" customWidth="1"/>
    <col min="11521" max="11521" width="15.59765625" style="8" bestFit="1" customWidth="1"/>
    <col min="11522" max="11522" width="11.09765625" style="8" bestFit="1" customWidth="1"/>
    <col min="11523" max="11523" width="0" style="8" hidden="1" customWidth="1"/>
    <col min="11524" max="11524" width="7.5" style="8" customWidth="1"/>
    <col min="11525" max="11525" width="8.19921875" style="8" bestFit="1" customWidth="1"/>
    <col min="11526" max="11526" width="27.19921875" style="8" customWidth="1"/>
    <col min="11527" max="11527" width="13" style="8" customWidth="1"/>
    <col min="11528" max="11528" width="6.19921875" style="8" bestFit="1" customWidth="1"/>
    <col min="11529" max="11529" width="0" style="8" hidden="1" customWidth="1"/>
    <col min="11530" max="11530" width="3.5" style="8" bestFit="1" customWidth="1"/>
    <col min="11531" max="11775" width="8.69921875" style="8"/>
    <col min="11776" max="11776" width="4.09765625" style="8" customWidth="1"/>
    <col min="11777" max="11777" width="15.59765625" style="8" bestFit="1" customWidth="1"/>
    <col min="11778" max="11778" width="11.09765625" style="8" bestFit="1" customWidth="1"/>
    <col min="11779" max="11779" width="0" style="8" hidden="1" customWidth="1"/>
    <col min="11780" max="11780" width="7.5" style="8" customWidth="1"/>
    <col min="11781" max="11781" width="8.19921875" style="8" bestFit="1" customWidth="1"/>
    <col min="11782" max="11782" width="27.19921875" style="8" customWidth="1"/>
    <col min="11783" max="11783" width="13" style="8" customWidth="1"/>
    <col min="11784" max="11784" width="6.19921875" style="8" bestFit="1" customWidth="1"/>
    <col min="11785" max="11785" width="0" style="8" hidden="1" customWidth="1"/>
    <col min="11786" max="11786" width="3.5" style="8" bestFit="1" customWidth="1"/>
    <col min="11787" max="12031" width="8.69921875" style="8"/>
    <col min="12032" max="12032" width="4.09765625" style="8" customWidth="1"/>
    <col min="12033" max="12033" width="15.59765625" style="8" bestFit="1" customWidth="1"/>
    <col min="12034" max="12034" width="11.09765625" style="8" bestFit="1" customWidth="1"/>
    <col min="12035" max="12035" width="0" style="8" hidden="1" customWidth="1"/>
    <col min="12036" max="12036" width="7.5" style="8" customWidth="1"/>
    <col min="12037" max="12037" width="8.19921875" style="8" bestFit="1" customWidth="1"/>
    <col min="12038" max="12038" width="27.19921875" style="8" customWidth="1"/>
    <col min="12039" max="12039" width="13" style="8" customWidth="1"/>
    <col min="12040" max="12040" width="6.19921875" style="8" bestFit="1" customWidth="1"/>
    <col min="12041" max="12041" width="0" style="8" hidden="1" customWidth="1"/>
    <col min="12042" max="12042" width="3.5" style="8" bestFit="1" customWidth="1"/>
    <col min="12043" max="12287" width="8.69921875" style="8"/>
    <col min="12288" max="12288" width="4.09765625" style="8" customWidth="1"/>
    <col min="12289" max="12289" width="15.59765625" style="8" bestFit="1" customWidth="1"/>
    <col min="12290" max="12290" width="11.09765625" style="8" bestFit="1" customWidth="1"/>
    <col min="12291" max="12291" width="0" style="8" hidden="1" customWidth="1"/>
    <col min="12292" max="12292" width="7.5" style="8" customWidth="1"/>
    <col min="12293" max="12293" width="8.19921875" style="8" bestFit="1" customWidth="1"/>
    <col min="12294" max="12294" width="27.19921875" style="8" customWidth="1"/>
    <col min="12295" max="12295" width="13" style="8" customWidth="1"/>
    <col min="12296" max="12296" width="6.19921875" style="8" bestFit="1" customWidth="1"/>
    <col min="12297" max="12297" width="0" style="8" hidden="1" customWidth="1"/>
    <col min="12298" max="12298" width="3.5" style="8" bestFit="1" customWidth="1"/>
    <col min="12299" max="12543" width="8.69921875" style="8"/>
    <col min="12544" max="12544" width="4.09765625" style="8" customWidth="1"/>
    <col min="12545" max="12545" width="15.59765625" style="8" bestFit="1" customWidth="1"/>
    <col min="12546" max="12546" width="11.09765625" style="8" bestFit="1" customWidth="1"/>
    <col min="12547" max="12547" width="0" style="8" hidden="1" customWidth="1"/>
    <col min="12548" max="12548" width="7.5" style="8" customWidth="1"/>
    <col min="12549" max="12549" width="8.19921875" style="8" bestFit="1" customWidth="1"/>
    <col min="12550" max="12550" width="27.19921875" style="8" customWidth="1"/>
    <col min="12551" max="12551" width="13" style="8" customWidth="1"/>
    <col min="12552" max="12552" width="6.19921875" style="8" bestFit="1" customWidth="1"/>
    <col min="12553" max="12553" width="0" style="8" hidden="1" customWidth="1"/>
    <col min="12554" max="12554" width="3.5" style="8" bestFit="1" customWidth="1"/>
    <col min="12555" max="12799" width="8.69921875" style="8"/>
    <col min="12800" max="12800" width="4.09765625" style="8" customWidth="1"/>
    <col min="12801" max="12801" width="15.59765625" style="8" bestFit="1" customWidth="1"/>
    <col min="12802" max="12802" width="11.09765625" style="8" bestFit="1" customWidth="1"/>
    <col min="12803" max="12803" width="0" style="8" hidden="1" customWidth="1"/>
    <col min="12804" max="12804" width="7.5" style="8" customWidth="1"/>
    <col min="12805" max="12805" width="8.19921875" style="8" bestFit="1" customWidth="1"/>
    <col min="12806" max="12806" width="27.19921875" style="8" customWidth="1"/>
    <col min="12807" max="12807" width="13" style="8" customWidth="1"/>
    <col min="12808" max="12808" width="6.19921875" style="8" bestFit="1" customWidth="1"/>
    <col min="12809" max="12809" width="0" style="8" hidden="1" customWidth="1"/>
    <col min="12810" max="12810" width="3.5" style="8" bestFit="1" customWidth="1"/>
    <col min="12811" max="13055" width="8.69921875" style="8"/>
    <col min="13056" max="13056" width="4.09765625" style="8" customWidth="1"/>
    <col min="13057" max="13057" width="15.59765625" style="8" bestFit="1" customWidth="1"/>
    <col min="13058" max="13058" width="11.09765625" style="8" bestFit="1" customWidth="1"/>
    <col min="13059" max="13059" width="0" style="8" hidden="1" customWidth="1"/>
    <col min="13060" max="13060" width="7.5" style="8" customWidth="1"/>
    <col min="13061" max="13061" width="8.19921875" style="8" bestFit="1" customWidth="1"/>
    <col min="13062" max="13062" width="27.19921875" style="8" customWidth="1"/>
    <col min="13063" max="13063" width="13" style="8" customWidth="1"/>
    <col min="13064" max="13064" width="6.19921875" style="8" bestFit="1" customWidth="1"/>
    <col min="13065" max="13065" width="0" style="8" hidden="1" customWidth="1"/>
    <col min="13066" max="13066" width="3.5" style="8" bestFit="1" customWidth="1"/>
    <col min="13067" max="13311" width="8.69921875" style="8"/>
    <col min="13312" max="13312" width="4.09765625" style="8" customWidth="1"/>
    <col min="13313" max="13313" width="15.59765625" style="8" bestFit="1" customWidth="1"/>
    <col min="13314" max="13314" width="11.09765625" style="8" bestFit="1" customWidth="1"/>
    <col min="13315" max="13315" width="0" style="8" hidden="1" customWidth="1"/>
    <col min="13316" max="13316" width="7.5" style="8" customWidth="1"/>
    <col min="13317" max="13317" width="8.19921875" style="8" bestFit="1" customWidth="1"/>
    <col min="13318" max="13318" width="27.19921875" style="8" customWidth="1"/>
    <col min="13319" max="13319" width="13" style="8" customWidth="1"/>
    <col min="13320" max="13320" width="6.19921875" style="8" bestFit="1" customWidth="1"/>
    <col min="13321" max="13321" width="0" style="8" hidden="1" customWidth="1"/>
    <col min="13322" max="13322" width="3.5" style="8" bestFit="1" customWidth="1"/>
    <col min="13323" max="13567" width="8.69921875" style="8"/>
    <col min="13568" max="13568" width="4.09765625" style="8" customWidth="1"/>
    <col min="13569" max="13569" width="15.59765625" style="8" bestFit="1" customWidth="1"/>
    <col min="13570" max="13570" width="11.09765625" style="8" bestFit="1" customWidth="1"/>
    <col min="13571" max="13571" width="0" style="8" hidden="1" customWidth="1"/>
    <col min="13572" max="13572" width="7.5" style="8" customWidth="1"/>
    <col min="13573" max="13573" width="8.19921875" style="8" bestFit="1" customWidth="1"/>
    <col min="13574" max="13574" width="27.19921875" style="8" customWidth="1"/>
    <col min="13575" max="13575" width="13" style="8" customWidth="1"/>
    <col min="13576" max="13576" width="6.19921875" style="8" bestFit="1" customWidth="1"/>
    <col min="13577" max="13577" width="0" style="8" hidden="1" customWidth="1"/>
    <col min="13578" max="13578" width="3.5" style="8" bestFit="1" customWidth="1"/>
    <col min="13579" max="13823" width="8.69921875" style="8"/>
    <col min="13824" max="13824" width="4.09765625" style="8" customWidth="1"/>
    <col min="13825" max="13825" width="15.59765625" style="8" bestFit="1" customWidth="1"/>
    <col min="13826" max="13826" width="11.09765625" style="8" bestFit="1" customWidth="1"/>
    <col min="13827" max="13827" width="0" style="8" hidden="1" customWidth="1"/>
    <col min="13828" max="13828" width="7.5" style="8" customWidth="1"/>
    <col min="13829" max="13829" width="8.19921875" style="8" bestFit="1" customWidth="1"/>
    <col min="13830" max="13830" width="27.19921875" style="8" customWidth="1"/>
    <col min="13831" max="13831" width="13" style="8" customWidth="1"/>
    <col min="13832" max="13832" width="6.19921875" style="8" bestFit="1" customWidth="1"/>
    <col min="13833" max="13833" width="0" style="8" hidden="1" customWidth="1"/>
    <col min="13834" max="13834" width="3.5" style="8" bestFit="1" customWidth="1"/>
    <col min="13835" max="14079" width="8.69921875" style="8"/>
    <col min="14080" max="14080" width="4.09765625" style="8" customWidth="1"/>
    <col min="14081" max="14081" width="15.59765625" style="8" bestFit="1" customWidth="1"/>
    <col min="14082" max="14082" width="11.09765625" style="8" bestFit="1" customWidth="1"/>
    <col min="14083" max="14083" width="0" style="8" hidden="1" customWidth="1"/>
    <col min="14084" max="14084" width="7.5" style="8" customWidth="1"/>
    <col min="14085" max="14085" width="8.19921875" style="8" bestFit="1" customWidth="1"/>
    <col min="14086" max="14086" width="27.19921875" style="8" customWidth="1"/>
    <col min="14087" max="14087" width="13" style="8" customWidth="1"/>
    <col min="14088" max="14088" width="6.19921875" style="8" bestFit="1" customWidth="1"/>
    <col min="14089" max="14089" width="0" style="8" hidden="1" customWidth="1"/>
    <col min="14090" max="14090" width="3.5" style="8" bestFit="1" customWidth="1"/>
    <col min="14091" max="14335" width="8.69921875" style="8"/>
    <col min="14336" max="14336" width="4.09765625" style="8" customWidth="1"/>
    <col min="14337" max="14337" width="15.59765625" style="8" bestFit="1" customWidth="1"/>
    <col min="14338" max="14338" width="11.09765625" style="8" bestFit="1" customWidth="1"/>
    <col min="14339" max="14339" width="0" style="8" hidden="1" customWidth="1"/>
    <col min="14340" max="14340" width="7.5" style="8" customWidth="1"/>
    <col min="14341" max="14341" width="8.19921875" style="8" bestFit="1" customWidth="1"/>
    <col min="14342" max="14342" width="27.19921875" style="8" customWidth="1"/>
    <col min="14343" max="14343" width="13" style="8" customWidth="1"/>
    <col min="14344" max="14344" width="6.19921875" style="8" bestFit="1" customWidth="1"/>
    <col min="14345" max="14345" width="0" style="8" hidden="1" customWidth="1"/>
    <col min="14346" max="14346" width="3.5" style="8" bestFit="1" customWidth="1"/>
    <col min="14347" max="14591" width="8.69921875" style="8"/>
    <col min="14592" max="14592" width="4.09765625" style="8" customWidth="1"/>
    <col min="14593" max="14593" width="15.59765625" style="8" bestFit="1" customWidth="1"/>
    <col min="14594" max="14594" width="11.09765625" style="8" bestFit="1" customWidth="1"/>
    <col min="14595" max="14595" width="0" style="8" hidden="1" customWidth="1"/>
    <col min="14596" max="14596" width="7.5" style="8" customWidth="1"/>
    <col min="14597" max="14597" width="8.19921875" style="8" bestFit="1" customWidth="1"/>
    <col min="14598" max="14598" width="27.19921875" style="8" customWidth="1"/>
    <col min="14599" max="14599" width="13" style="8" customWidth="1"/>
    <col min="14600" max="14600" width="6.19921875" style="8" bestFit="1" customWidth="1"/>
    <col min="14601" max="14601" width="0" style="8" hidden="1" customWidth="1"/>
    <col min="14602" max="14602" width="3.5" style="8" bestFit="1" customWidth="1"/>
    <col min="14603" max="14847" width="8.69921875" style="8"/>
    <col min="14848" max="14848" width="4.09765625" style="8" customWidth="1"/>
    <col min="14849" max="14849" width="15.59765625" style="8" bestFit="1" customWidth="1"/>
    <col min="14850" max="14850" width="11.09765625" style="8" bestFit="1" customWidth="1"/>
    <col min="14851" max="14851" width="0" style="8" hidden="1" customWidth="1"/>
    <col min="14852" max="14852" width="7.5" style="8" customWidth="1"/>
    <col min="14853" max="14853" width="8.19921875" style="8" bestFit="1" customWidth="1"/>
    <col min="14854" max="14854" width="27.19921875" style="8" customWidth="1"/>
    <col min="14855" max="14855" width="13" style="8" customWidth="1"/>
    <col min="14856" max="14856" width="6.19921875" style="8" bestFit="1" customWidth="1"/>
    <col min="14857" max="14857" width="0" style="8" hidden="1" customWidth="1"/>
    <col min="14858" max="14858" width="3.5" style="8" bestFit="1" customWidth="1"/>
    <col min="14859" max="15103" width="8.69921875" style="8"/>
    <col min="15104" max="15104" width="4.09765625" style="8" customWidth="1"/>
    <col min="15105" max="15105" width="15.59765625" style="8" bestFit="1" customWidth="1"/>
    <col min="15106" max="15106" width="11.09765625" style="8" bestFit="1" customWidth="1"/>
    <col min="15107" max="15107" width="0" style="8" hidden="1" customWidth="1"/>
    <col min="15108" max="15108" width="7.5" style="8" customWidth="1"/>
    <col min="15109" max="15109" width="8.19921875" style="8" bestFit="1" customWidth="1"/>
    <col min="15110" max="15110" width="27.19921875" style="8" customWidth="1"/>
    <col min="15111" max="15111" width="13" style="8" customWidth="1"/>
    <col min="15112" max="15112" width="6.19921875" style="8" bestFit="1" customWidth="1"/>
    <col min="15113" max="15113" width="0" style="8" hidden="1" customWidth="1"/>
    <col min="15114" max="15114" width="3.5" style="8" bestFit="1" customWidth="1"/>
    <col min="15115" max="15359" width="8.69921875" style="8"/>
    <col min="15360" max="15360" width="4.09765625" style="8" customWidth="1"/>
    <col min="15361" max="15361" width="15.59765625" style="8" bestFit="1" customWidth="1"/>
    <col min="15362" max="15362" width="11.09765625" style="8" bestFit="1" customWidth="1"/>
    <col min="15363" max="15363" width="0" style="8" hidden="1" customWidth="1"/>
    <col min="15364" max="15364" width="7.5" style="8" customWidth="1"/>
    <col min="15365" max="15365" width="8.19921875" style="8" bestFit="1" customWidth="1"/>
    <col min="15366" max="15366" width="27.19921875" style="8" customWidth="1"/>
    <col min="15367" max="15367" width="13" style="8" customWidth="1"/>
    <col min="15368" max="15368" width="6.19921875" style="8" bestFit="1" customWidth="1"/>
    <col min="15369" max="15369" width="0" style="8" hidden="1" customWidth="1"/>
    <col min="15370" max="15370" width="3.5" style="8" bestFit="1" customWidth="1"/>
    <col min="15371" max="15615" width="8.69921875" style="8"/>
    <col min="15616" max="15616" width="4.09765625" style="8" customWidth="1"/>
    <col min="15617" max="15617" width="15.59765625" style="8" bestFit="1" customWidth="1"/>
    <col min="15618" max="15618" width="11.09765625" style="8" bestFit="1" customWidth="1"/>
    <col min="15619" max="15619" width="0" style="8" hidden="1" customWidth="1"/>
    <col min="15620" max="15620" width="7.5" style="8" customWidth="1"/>
    <col min="15621" max="15621" width="8.19921875" style="8" bestFit="1" customWidth="1"/>
    <col min="15622" max="15622" width="27.19921875" style="8" customWidth="1"/>
    <col min="15623" max="15623" width="13" style="8" customWidth="1"/>
    <col min="15624" max="15624" width="6.19921875" style="8" bestFit="1" customWidth="1"/>
    <col min="15625" max="15625" width="0" style="8" hidden="1" customWidth="1"/>
    <col min="15626" max="15626" width="3.5" style="8" bestFit="1" customWidth="1"/>
    <col min="15627" max="15871" width="8.69921875" style="8"/>
    <col min="15872" max="15872" width="4.09765625" style="8" customWidth="1"/>
    <col min="15873" max="15873" width="15.59765625" style="8" bestFit="1" customWidth="1"/>
    <col min="15874" max="15874" width="11.09765625" style="8" bestFit="1" customWidth="1"/>
    <col min="15875" max="15875" width="0" style="8" hidden="1" customWidth="1"/>
    <col min="15876" max="15876" width="7.5" style="8" customWidth="1"/>
    <col min="15877" max="15877" width="8.19921875" style="8" bestFit="1" customWidth="1"/>
    <col min="15878" max="15878" width="27.19921875" style="8" customWidth="1"/>
    <col min="15879" max="15879" width="13" style="8" customWidth="1"/>
    <col min="15880" max="15880" width="6.19921875" style="8" bestFit="1" customWidth="1"/>
    <col min="15881" max="15881" width="0" style="8" hidden="1" customWidth="1"/>
    <col min="15882" max="15882" width="3.5" style="8" bestFit="1" customWidth="1"/>
    <col min="15883" max="16127" width="8.69921875" style="8"/>
    <col min="16128" max="16128" width="4.09765625" style="8" customWidth="1"/>
    <col min="16129" max="16129" width="15.59765625" style="8" bestFit="1" customWidth="1"/>
    <col min="16130" max="16130" width="11.09765625" style="8" bestFit="1" customWidth="1"/>
    <col min="16131" max="16131" width="0" style="8" hidden="1" customWidth="1"/>
    <col min="16132" max="16132" width="7.5" style="8" customWidth="1"/>
    <col min="16133" max="16133" width="8.19921875" style="8" bestFit="1" customWidth="1"/>
    <col min="16134" max="16134" width="27.19921875" style="8" customWidth="1"/>
    <col min="16135" max="16135" width="13" style="8" customWidth="1"/>
    <col min="16136" max="16136" width="6.19921875" style="8" bestFit="1" customWidth="1"/>
    <col min="16137" max="16137" width="0" style="8" hidden="1" customWidth="1"/>
    <col min="16138" max="16138" width="3.5" style="8" bestFit="1" customWidth="1"/>
    <col min="16139" max="16382" width="8.69921875" style="8"/>
    <col min="16383" max="16384" width="9" style="8" customWidth="1"/>
  </cols>
  <sheetData>
    <row r="1" spans="1:10" ht="14.4">
      <c r="A1" s="7" t="s">
        <v>206</v>
      </c>
      <c r="C1" s="8"/>
      <c r="E1" s="8"/>
      <c r="F1" s="8"/>
    </row>
    <row r="2" spans="1:10" ht="11.4" thickBot="1">
      <c r="D2" s="126"/>
      <c r="G2" s="126"/>
    </row>
    <row r="3" spans="1:10">
      <c r="A3" s="157" t="s">
        <v>0</v>
      </c>
      <c r="B3" s="151" t="s">
        <v>1</v>
      </c>
      <c r="C3" s="153" t="s">
        <v>2</v>
      </c>
      <c r="D3" s="151" t="s">
        <v>3</v>
      </c>
      <c r="E3" s="159" t="s">
        <v>4</v>
      </c>
      <c r="F3" s="161" t="s">
        <v>220</v>
      </c>
      <c r="G3" s="151" t="s">
        <v>5</v>
      </c>
      <c r="H3" s="151" t="s">
        <v>6</v>
      </c>
      <c r="I3" s="153" t="s">
        <v>7</v>
      </c>
      <c r="J3" s="155" t="s">
        <v>8</v>
      </c>
    </row>
    <row r="4" spans="1:10">
      <c r="A4" s="158"/>
      <c r="B4" s="152"/>
      <c r="C4" s="154"/>
      <c r="D4" s="152"/>
      <c r="E4" s="160"/>
      <c r="F4" s="162"/>
      <c r="G4" s="152"/>
      <c r="H4" s="152"/>
      <c r="I4" s="154"/>
      <c r="J4" s="156"/>
    </row>
    <row r="5" spans="1:10" s="135" customFormat="1" ht="21" customHeight="1">
      <c r="A5" s="134" t="s">
        <v>228</v>
      </c>
      <c r="B5" s="134" t="s">
        <v>252</v>
      </c>
      <c r="C5" s="134" t="s">
        <v>291</v>
      </c>
      <c r="D5" s="134" t="s">
        <v>258</v>
      </c>
      <c r="E5" s="134">
        <v>8.6</v>
      </c>
      <c r="F5" s="134" t="s">
        <v>263</v>
      </c>
      <c r="G5" s="134" t="s">
        <v>302</v>
      </c>
      <c r="H5" s="134" t="s">
        <v>264</v>
      </c>
      <c r="I5" s="134" t="s">
        <v>266</v>
      </c>
      <c r="J5" s="134" t="s">
        <v>263</v>
      </c>
    </row>
    <row r="6" spans="1:10" s="135" customFormat="1" ht="21" customHeight="1">
      <c r="A6" s="134" t="s">
        <v>230</v>
      </c>
      <c r="B6" s="134" t="s">
        <v>253</v>
      </c>
      <c r="C6" s="134" t="s">
        <v>292</v>
      </c>
      <c r="D6" s="134" t="s">
        <v>258</v>
      </c>
      <c r="E6" s="134">
        <v>8.6</v>
      </c>
      <c r="F6" s="134" t="s">
        <v>263</v>
      </c>
      <c r="G6" s="134" t="s">
        <v>303</v>
      </c>
      <c r="H6" s="134" t="s">
        <v>264</v>
      </c>
      <c r="I6" s="134" t="s">
        <v>266</v>
      </c>
      <c r="J6" s="134" t="s">
        <v>263</v>
      </c>
    </row>
    <row r="7" spans="1:10" s="135" customFormat="1" ht="21" customHeight="1">
      <c r="A7" s="134" t="s">
        <v>231</v>
      </c>
      <c r="B7" s="134" t="s">
        <v>254</v>
      </c>
      <c r="C7" s="134" t="s">
        <v>293</v>
      </c>
      <c r="D7" s="134" t="s">
        <v>259</v>
      </c>
      <c r="E7" s="134">
        <v>7.8</v>
      </c>
      <c r="F7" s="134" t="s">
        <v>263</v>
      </c>
      <c r="G7" s="134" t="s">
        <v>304</v>
      </c>
      <c r="H7" s="134" t="s">
        <v>264</v>
      </c>
      <c r="I7" s="134" t="s">
        <v>266</v>
      </c>
      <c r="J7" s="134" t="s">
        <v>263</v>
      </c>
    </row>
    <row r="8" spans="1:10" s="135" customFormat="1" ht="21" customHeight="1">
      <c r="A8" s="134" t="s">
        <v>232</v>
      </c>
      <c r="B8" s="134" t="s">
        <v>255</v>
      </c>
      <c r="C8" s="134" t="s">
        <v>294</v>
      </c>
      <c r="D8" s="134" t="s">
        <v>260</v>
      </c>
      <c r="E8" s="134">
        <v>20.04</v>
      </c>
      <c r="F8" s="134" t="s">
        <v>263</v>
      </c>
      <c r="G8" s="134" t="s">
        <v>305</v>
      </c>
      <c r="H8" s="134" t="s">
        <v>264</v>
      </c>
      <c r="I8" s="134" t="s">
        <v>266</v>
      </c>
      <c r="J8" s="134" t="s">
        <v>263</v>
      </c>
    </row>
    <row r="9" spans="1:10" s="135" customFormat="1" ht="21" customHeight="1">
      <c r="A9" s="134" t="s">
        <v>233</v>
      </c>
      <c r="B9" s="134" t="s">
        <v>256</v>
      </c>
      <c r="C9" s="134" t="s">
        <v>295</v>
      </c>
      <c r="D9" s="134" t="s">
        <v>260</v>
      </c>
      <c r="E9" s="134">
        <v>20.04</v>
      </c>
      <c r="F9" s="134" t="s">
        <v>263</v>
      </c>
      <c r="G9" s="134" t="s">
        <v>305</v>
      </c>
      <c r="H9" s="134" t="s">
        <v>264</v>
      </c>
      <c r="I9" s="134" t="s">
        <v>266</v>
      </c>
      <c r="J9" s="134" t="s">
        <v>263</v>
      </c>
    </row>
    <row r="10" spans="1:10" s="135" customFormat="1" ht="21" customHeight="1">
      <c r="A10" s="134" t="s">
        <v>234</v>
      </c>
      <c r="B10" s="134" t="s">
        <v>267</v>
      </c>
      <c r="C10" s="134" t="s">
        <v>284</v>
      </c>
      <c r="D10" s="134" t="s">
        <v>261</v>
      </c>
      <c r="E10" s="134">
        <v>12</v>
      </c>
      <c r="F10" s="134" t="s">
        <v>263</v>
      </c>
      <c r="G10" s="134" t="s">
        <v>306</v>
      </c>
      <c r="H10" s="134" t="s">
        <v>265</v>
      </c>
      <c r="I10" s="134" t="s">
        <v>266</v>
      </c>
      <c r="J10" s="134" t="s">
        <v>263</v>
      </c>
    </row>
    <row r="11" spans="1:10" s="135" customFormat="1" ht="21" customHeight="1">
      <c r="A11" s="134" t="s">
        <v>235</v>
      </c>
      <c r="B11" s="134" t="s">
        <v>268</v>
      </c>
      <c r="C11" s="134" t="s">
        <v>284</v>
      </c>
      <c r="D11" s="134" t="s">
        <v>261</v>
      </c>
      <c r="E11" s="134">
        <v>12</v>
      </c>
      <c r="F11" s="134"/>
      <c r="G11" s="134" t="s">
        <v>306</v>
      </c>
      <c r="H11" s="134" t="s">
        <v>265</v>
      </c>
      <c r="I11" s="134" t="s">
        <v>266</v>
      </c>
      <c r="J11" s="134" t="s">
        <v>263</v>
      </c>
    </row>
    <row r="12" spans="1:10" s="135" customFormat="1" ht="21" customHeight="1">
      <c r="A12" s="134" t="s">
        <v>236</v>
      </c>
      <c r="B12" s="134" t="s">
        <v>269</v>
      </c>
      <c r="C12" s="134" t="s">
        <v>285</v>
      </c>
      <c r="D12" s="134" t="s">
        <v>261</v>
      </c>
      <c r="E12" s="134">
        <v>12</v>
      </c>
      <c r="F12" s="134" t="s">
        <v>263</v>
      </c>
      <c r="G12" s="134" t="s">
        <v>296</v>
      </c>
      <c r="H12" s="134" t="s">
        <v>265</v>
      </c>
      <c r="I12" s="134" t="s">
        <v>266</v>
      </c>
      <c r="J12" s="134" t="s">
        <v>263</v>
      </c>
    </row>
    <row r="13" spans="1:10" s="135" customFormat="1" ht="21" customHeight="1">
      <c r="A13" s="134" t="s">
        <v>237</v>
      </c>
      <c r="B13" s="134" t="s">
        <v>270</v>
      </c>
      <c r="C13" s="134" t="s">
        <v>285</v>
      </c>
      <c r="D13" s="134" t="s">
        <v>261</v>
      </c>
      <c r="E13" s="134">
        <v>12</v>
      </c>
      <c r="F13" s="134"/>
      <c r="G13" s="134" t="s">
        <v>296</v>
      </c>
      <c r="H13" s="134" t="s">
        <v>265</v>
      </c>
      <c r="I13" s="134" t="s">
        <v>266</v>
      </c>
      <c r="J13" s="134" t="s">
        <v>263</v>
      </c>
    </row>
    <row r="14" spans="1:10" s="135" customFormat="1" ht="21" customHeight="1">
      <c r="A14" s="134" t="s">
        <v>238</v>
      </c>
      <c r="B14" s="134" t="s">
        <v>271</v>
      </c>
      <c r="C14" s="134" t="s">
        <v>286</v>
      </c>
      <c r="D14" s="134" t="s">
        <v>260</v>
      </c>
      <c r="E14" s="134" t="s">
        <v>262</v>
      </c>
      <c r="F14" s="134" t="s">
        <v>263</v>
      </c>
      <c r="G14" s="134" t="s">
        <v>297</v>
      </c>
      <c r="H14" s="134" t="s">
        <v>265</v>
      </c>
      <c r="I14" s="134" t="s">
        <v>266</v>
      </c>
      <c r="J14" s="134" t="s">
        <v>263</v>
      </c>
    </row>
    <row r="15" spans="1:10" s="135" customFormat="1" ht="21" customHeight="1">
      <c r="A15" s="134" t="s">
        <v>239</v>
      </c>
      <c r="B15" s="134" t="s">
        <v>272</v>
      </c>
      <c r="C15" s="134" t="s">
        <v>286</v>
      </c>
      <c r="D15" s="134" t="s">
        <v>260</v>
      </c>
      <c r="E15" s="134" t="s">
        <v>262</v>
      </c>
      <c r="F15" s="134"/>
      <c r="G15" s="134" t="s">
        <v>297</v>
      </c>
      <c r="H15" s="134" t="s">
        <v>265</v>
      </c>
      <c r="I15" s="134" t="s">
        <v>266</v>
      </c>
      <c r="J15" s="134" t="s">
        <v>263</v>
      </c>
    </row>
    <row r="16" spans="1:10" s="135" customFormat="1" ht="21" customHeight="1">
      <c r="A16" s="134" t="s">
        <v>240</v>
      </c>
      <c r="B16" s="134" t="s">
        <v>273</v>
      </c>
      <c r="C16" s="134" t="s">
        <v>287</v>
      </c>
      <c r="D16" s="134" t="s">
        <v>260</v>
      </c>
      <c r="E16" s="134" t="s">
        <v>262</v>
      </c>
      <c r="F16" s="134" t="s">
        <v>263</v>
      </c>
      <c r="G16" s="134" t="s">
        <v>298</v>
      </c>
      <c r="H16" s="134" t="s">
        <v>265</v>
      </c>
      <c r="I16" s="134" t="s">
        <v>266</v>
      </c>
      <c r="J16" s="134" t="s">
        <v>263</v>
      </c>
    </row>
    <row r="17" spans="1:10" s="135" customFormat="1" ht="21" customHeight="1">
      <c r="A17" s="134" t="s">
        <v>279</v>
      </c>
      <c r="B17" s="134" t="s">
        <v>274</v>
      </c>
      <c r="C17" s="134" t="s">
        <v>287</v>
      </c>
      <c r="D17" s="134" t="s">
        <v>260</v>
      </c>
      <c r="E17" s="134" t="s">
        <v>262</v>
      </c>
      <c r="F17" s="134"/>
      <c r="G17" s="134" t="s">
        <v>298</v>
      </c>
      <c r="H17" s="134" t="s">
        <v>265</v>
      </c>
      <c r="I17" s="134" t="s">
        <v>266</v>
      </c>
      <c r="J17" s="134" t="s">
        <v>263</v>
      </c>
    </row>
    <row r="18" spans="1:10" s="135" customFormat="1" ht="21" customHeight="1">
      <c r="A18" s="134" t="s">
        <v>280</v>
      </c>
      <c r="B18" s="134" t="s">
        <v>275</v>
      </c>
      <c r="C18" s="134" t="s">
        <v>288</v>
      </c>
      <c r="D18" s="134" t="s">
        <v>260</v>
      </c>
      <c r="E18" s="134" t="s">
        <v>262</v>
      </c>
      <c r="F18" s="134" t="s">
        <v>263</v>
      </c>
      <c r="G18" s="134" t="s">
        <v>299</v>
      </c>
      <c r="H18" s="134" t="s">
        <v>265</v>
      </c>
      <c r="I18" s="134" t="s">
        <v>266</v>
      </c>
      <c r="J18" s="134" t="s">
        <v>263</v>
      </c>
    </row>
    <row r="19" spans="1:10" s="135" customFormat="1" ht="21" customHeight="1">
      <c r="A19" s="134" t="s">
        <v>281</v>
      </c>
      <c r="B19" s="134" t="s">
        <v>276</v>
      </c>
      <c r="C19" s="134" t="s">
        <v>288</v>
      </c>
      <c r="D19" s="134" t="s">
        <v>260</v>
      </c>
      <c r="E19" s="134" t="s">
        <v>262</v>
      </c>
      <c r="F19" s="134"/>
      <c r="G19" s="134" t="s">
        <v>299</v>
      </c>
      <c r="H19" s="134" t="s">
        <v>265</v>
      </c>
      <c r="I19" s="134" t="s">
        <v>266</v>
      </c>
      <c r="J19" s="134" t="s">
        <v>263</v>
      </c>
    </row>
    <row r="20" spans="1:10" s="135" customFormat="1" ht="21" customHeight="1">
      <c r="A20" s="134" t="s">
        <v>282</v>
      </c>
      <c r="B20" s="134" t="s">
        <v>277</v>
      </c>
      <c r="C20" s="134" t="s">
        <v>289</v>
      </c>
      <c r="D20" s="134" t="s">
        <v>260</v>
      </c>
      <c r="E20" s="134" t="s">
        <v>262</v>
      </c>
      <c r="F20" s="134" t="s">
        <v>263</v>
      </c>
      <c r="G20" s="134" t="s">
        <v>300</v>
      </c>
      <c r="H20" s="134" t="s">
        <v>265</v>
      </c>
      <c r="I20" s="134" t="s">
        <v>266</v>
      </c>
      <c r="J20" s="134" t="s">
        <v>263</v>
      </c>
    </row>
    <row r="21" spans="1:10" s="135" customFormat="1" ht="21" customHeight="1">
      <c r="A21" s="134" t="s">
        <v>283</v>
      </c>
      <c r="B21" s="134" t="s">
        <v>278</v>
      </c>
      <c r="C21" s="134" t="s">
        <v>289</v>
      </c>
      <c r="D21" s="134" t="s">
        <v>260</v>
      </c>
      <c r="E21" s="134" t="s">
        <v>262</v>
      </c>
      <c r="F21" s="134"/>
      <c r="G21" s="134" t="s">
        <v>300</v>
      </c>
      <c r="H21" s="134" t="s">
        <v>265</v>
      </c>
      <c r="I21" s="134" t="s">
        <v>266</v>
      </c>
      <c r="J21" s="134" t="s">
        <v>263</v>
      </c>
    </row>
    <row r="22" spans="1:10" s="135" customFormat="1" ht="21" customHeight="1">
      <c r="A22" s="134" t="s">
        <v>307</v>
      </c>
      <c r="B22" s="134" t="s">
        <v>257</v>
      </c>
      <c r="C22" s="134" t="s">
        <v>290</v>
      </c>
      <c r="D22" s="134" t="s">
        <v>260</v>
      </c>
      <c r="E22" s="134" t="s">
        <v>262</v>
      </c>
      <c r="F22" s="134" t="s">
        <v>263</v>
      </c>
      <c r="G22" s="134" t="s">
        <v>301</v>
      </c>
      <c r="H22" s="134" t="s">
        <v>265</v>
      </c>
      <c r="I22" s="134" t="s">
        <v>266</v>
      </c>
      <c r="J22" s="134" t="s">
        <v>263</v>
      </c>
    </row>
  </sheetData>
  <mergeCells count="10">
    <mergeCell ref="G3:G4"/>
    <mergeCell ref="H3:H4"/>
    <mergeCell ref="I3:I4"/>
    <mergeCell ref="J3:J4"/>
    <mergeCell ref="A3:A4"/>
    <mergeCell ref="B3:B4"/>
    <mergeCell ref="C3:C4"/>
    <mergeCell ref="D3:D4"/>
    <mergeCell ref="E3:E4"/>
    <mergeCell ref="F3:F4"/>
  </mergeCells>
  <phoneticPr fontId="8" type="noConversion"/>
  <conditionalFormatting sqref="D5:D22 C6:C22 G16:G22">
    <cfRule type="containsBlanks" dxfId="56" priority="15">
      <formula>LEN(TRIM(C5))=0</formula>
    </cfRule>
  </conditionalFormatting>
  <printOptions horizontalCentered="1" verticalCentered="1"/>
  <pageMargins left="0.39370078740157483" right="0.39370078740157483" top="0.59055118110236227" bottom="0.59055118110236227" header="0.39370078740157483" footer="0.39370078740157483"/>
  <pageSetup paperSize="9" scale="59" fitToHeight="9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showGridLines="0" view="pageBreakPreview" zoomScaleNormal="100" zoomScaleSheetLayoutView="100" workbookViewId="0"/>
  </sheetViews>
  <sheetFormatPr defaultRowHeight="13.2"/>
  <cols>
    <col min="1" max="1" width="3.59765625" style="11" customWidth="1"/>
    <col min="2" max="2" width="7.09765625" style="11" customWidth="1"/>
    <col min="3" max="3" width="67.09765625" style="11" customWidth="1"/>
    <col min="4" max="4" width="7" style="12" bestFit="1" customWidth="1"/>
    <col min="5" max="5" width="3.09765625" style="12" hidden="1" customWidth="1"/>
    <col min="6" max="6" width="4" style="12" hidden="1" customWidth="1"/>
    <col min="7" max="7" width="34.69921875" style="110" hidden="1" customWidth="1"/>
    <col min="8" max="9" width="9" style="11"/>
    <col min="10" max="11" width="10" style="11" customWidth="1"/>
    <col min="12" max="256" width="9" style="11"/>
    <col min="257" max="257" width="3.59765625" style="11" customWidth="1"/>
    <col min="258" max="258" width="7.09765625" style="11" customWidth="1"/>
    <col min="259" max="259" width="67.09765625" style="11" customWidth="1"/>
    <col min="260" max="260" width="7" style="11" bestFit="1" customWidth="1"/>
    <col min="261" max="261" width="11.09765625" style="11" customWidth="1"/>
    <col min="262" max="262" width="16.09765625" style="11" customWidth="1"/>
    <col min="263" max="265" width="9" style="11"/>
    <col min="266" max="267" width="10" style="11" customWidth="1"/>
    <col min="268" max="512" width="9" style="11"/>
    <col min="513" max="513" width="3.59765625" style="11" customWidth="1"/>
    <col min="514" max="514" width="7.09765625" style="11" customWidth="1"/>
    <col min="515" max="515" width="67.09765625" style="11" customWidth="1"/>
    <col min="516" max="516" width="7" style="11" bestFit="1" customWidth="1"/>
    <col min="517" max="517" width="11.09765625" style="11" customWidth="1"/>
    <col min="518" max="518" width="16.09765625" style="11" customWidth="1"/>
    <col min="519" max="521" width="9" style="11"/>
    <col min="522" max="523" width="10" style="11" customWidth="1"/>
    <col min="524" max="768" width="9" style="11"/>
    <col min="769" max="769" width="3.59765625" style="11" customWidth="1"/>
    <col min="770" max="770" width="7.09765625" style="11" customWidth="1"/>
    <col min="771" max="771" width="67.09765625" style="11" customWidth="1"/>
    <col min="772" max="772" width="7" style="11" bestFit="1" customWidth="1"/>
    <col min="773" max="773" width="11.09765625" style="11" customWidth="1"/>
    <col min="774" max="774" width="16.09765625" style="11" customWidth="1"/>
    <col min="775" max="777" width="9" style="11"/>
    <col min="778" max="779" width="10" style="11" customWidth="1"/>
    <col min="780" max="1024" width="9" style="11"/>
    <col min="1025" max="1025" width="3.59765625" style="11" customWidth="1"/>
    <col min="1026" max="1026" width="7.09765625" style="11" customWidth="1"/>
    <col min="1027" max="1027" width="67.09765625" style="11" customWidth="1"/>
    <col min="1028" max="1028" width="7" style="11" bestFit="1" customWidth="1"/>
    <col min="1029" max="1029" width="11.09765625" style="11" customWidth="1"/>
    <col min="1030" max="1030" width="16.09765625" style="11" customWidth="1"/>
    <col min="1031" max="1033" width="9" style="11"/>
    <col min="1034" max="1035" width="10" style="11" customWidth="1"/>
    <col min="1036" max="1280" width="9" style="11"/>
    <col min="1281" max="1281" width="3.59765625" style="11" customWidth="1"/>
    <col min="1282" max="1282" width="7.09765625" style="11" customWidth="1"/>
    <col min="1283" max="1283" width="67.09765625" style="11" customWidth="1"/>
    <col min="1284" max="1284" width="7" style="11" bestFit="1" customWidth="1"/>
    <col min="1285" max="1285" width="11.09765625" style="11" customWidth="1"/>
    <col min="1286" max="1286" width="16.09765625" style="11" customWidth="1"/>
    <col min="1287" max="1289" width="9" style="11"/>
    <col min="1290" max="1291" width="10" style="11" customWidth="1"/>
    <col min="1292" max="1536" width="9" style="11"/>
    <col min="1537" max="1537" width="3.59765625" style="11" customWidth="1"/>
    <col min="1538" max="1538" width="7.09765625" style="11" customWidth="1"/>
    <col min="1539" max="1539" width="67.09765625" style="11" customWidth="1"/>
    <col min="1540" max="1540" width="7" style="11" bestFit="1" customWidth="1"/>
    <col min="1541" max="1541" width="11.09765625" style="11" customWidth="1"/>
    <col min="1542" max="1542" width="16.09765625" style="11" customWidth="1"/>
    <col min="1543" max="1545" width="9" style="11"/>
    <col min="1546" max="1547" width="10" style="11" customWidth="1"/>
    <col min="1548" max="1792" width="9" style="11"/>
    <col min="1793" max="1793" width="3.59765625" style="11" customWidth="1"/>
    <col min="1794" max="1794" width="7.09765625" style="11" customWidth="1"/>
    <col min="1795" max="1795" width="67.09765625" style="11" customWidth="1"/>
    <col min="1796" max="1796" width="7" style="11" bestFit="1" customWidth="1"/>
    <col min="1797" max="1797" width="11.09765625" style="11" customWidth="1"/>
    <col min="1798" max="1798" width="16.09765625" style="11" customWidth="1"/>
    <col min="1799" max="1801" width="9" style="11"/>
    <col min="1802" max="1803" width="10" style="11" customWidth="1"/>
    <col min="1804" max="2048" width="9" style="11"/>
    <col min="2049" max="2049" width="3.59765625" style="11" customWidth="1"/>
    <col min="2050" max="2050" width="7.09765625" style="11" customWidth="1"/>
    <col min="2051" max="2051" width="67.09765625" style="11" customWidth="1"/>
    <col min="2052" max="2052" width="7" style="11" bestFit="1" customWidth="1"/>
    <col min="2053" max="2053" width="11.09765625" style="11" customWidth="1"/>
    <col min="2054" max="2054" width="16.09765625" style="11" customWidth="1"/>
    <col min="2055" max="2057" width="9" style="11"/>
    <col min="2058" max="2059" width="10" style="11" customWidth="1"/>
    <col min="2060" max="2304" width="9" style="11"/>
    <col min="2305" max="2305" width="3.59765625" style="11" customWidth="1"/>
    <col min="2306" max="2306" width="7.09765625" style="11" customWidth="1"/>
    <col min="2307" max="2307" width="67.09765625" style="11" customWidth="1"/>
    <col min="2308" max="2308" width="7" style="11" bestFit="1" customWidth="1"/>
    <col min="2309" max="2309" width="11.09765625" style="11" customWidth="1"/>
    <col min="2310" max="2310" width="16.09765625" style="11" customWidth="1"/>
    <col min="2311" max="2313" width="9" style="11"/>
    <col min="2314" max="2315" width="10" style="11" customWidth="1"/>
    <col min="2316" max="2560" width="9" style="11"/>
    <col min="2561" max="2561" width="3.59765625" style="11" customWidth="1"/>
    <col min="2562" max="2562" width="7.09765625" style="11" customWidth="1"/>
    <col min="2563" max="2563" width="67.09765625" style="11" customWidth="1"/>
    <col min="2564" max="2564" width="7" style="11" bestFit="1" customWidth="1"/>
    <col min="2565" max="2565" width="11.09765625" style="11" customWidth="1"/>
    <col min="2566" max="2566" width="16.09765625" style="11" customWidth="1"/>
    <col min="2567" max="2569" width="9" style="11"/>
    <col min="2570" max="2571" width="10" style="11" customWidth="1"/>
    <col min="2572" max="2816" width="9" style="11"/>
    <col min="2817" max="2817" width="3.59765625" style="11" customWidth="1"/>
    <col min="2818" max="2818" width="7.09765625" style="11" customWidth="1"/>
    <col min="2819" max="2819" width="67.09765625" style="11" customWidth="1"/>
    <col min="2820" max="2820" width="7" style="11" bestFit="1" customWidth="1"/>
    <col min="2821" max="2821" width="11.09765625" style="11" customWidth="1"/>
    <col min="2822" max="2822" width="16.09765625" style="11" customWidth="1"/>
    <col min="2823" max="2825" width="9" style="11"/>
    <col min="2826" max="2827" width="10" style="11" customWidth="1"/>
    <col min="2828" max="3072" width="9" style="11"/>
    <col min="3073" max="3073" width="3.59765625" style="11" customWidth="1"/>
    <col min="3074" max="3074" width="7.09765625" style="11" customWidth="1"/>
    <col min="3075" max="3075" width="67.09765625" style="11" customWidth="1"/>
    <col min="3076" max="3076" width="7" style="11" bestFit="1" customWidth="1"/>
    <col min="3077" max="3077" width="11.09765625" style="11" customWidth="1"/>
    <col min="3078" max="3078" width="16.09765625" style="11" customWidth="1"/>
    <col min="3079" max="3081" width="9" style="11"/>
    <col min="3082" max="3083" width="10" style="11" customWidth="1"/>
    <col min="3084" max="3328" width="9" style="11"/>
    <col min="3329" max="3329" width="3.59765625" style="11" customWidth="1"/>
    <col min="3330" max="3330" width="7.09765625" style="11" customWidth="1"/>
    <col min="3331" max="3331" width="67.09765625" style="11" customWidth="1"/>
    <col min="3332" max="3332" width="7" style="11" bestFit="1" customWidth="1"/>
    <col min="3333" max="3333" width="11.09765625" style="11" customWidth="1"/>
    <col min="3334" max="3334" width="16.09765625" style="11" customWidth="1"/>
    <col min="3335" max="3337" width="9" style="11"/>
    <col min="3338" max="3339" width="10" style="11" customWidth="1"/>
    <col min="3340" max="3584" width="9" style="11"/>
    <col min="3585" max="3585" width="3.59765625" style="11" customWidth="1"/>
    <col min="3586" max="3586" width="7.09765625" style="11" customWidth="1"/>
    <col min="3587" max="3587" width="67.09765625" style="11" customWidth="1"/>
    <col min="3588" max="3588" width="7" style="11" bestFit="1" customWidth="1"/>
    <col min="3589" max="3589" width="11.09765625" style="11" customWidth="1"/>
    <col min="3590" max="3590" width="16.09765625" style="11" customWidth="1"/>
    <col min="3591" max="3593" width="9" style="11"/>
    <col min="3594" max="3595" width="10" style="11" customWidth="1"/>
    <col min="3596" max="3840" width="9" style="11"/>
    <col min="3841" max="3841" width="3.59765625" style="11" customWidth="1"/>
    <col min="3842" max="3842" width="7.09765625" style="11" customWidth="1"/>
    <col min="3843" max="3843" width="67.09765625" style="11" customWidth="1"/>
    <col min="3844" max="3844" width="7" style="11" bestFit="1" customWidth="1"/>
    <col min="3845" max="3845" width="11.09765625" style="11" customWidth="1"/>
    <col min="3846" max="3846" width="16.09765625" style="11" customWidth="1"/>
    <col min="3847" max="3849" width="9" style="11"/>
    <col min="3850" max="3851" width="10" style="11" customWidth="1"/>
    <col min="3852" max="4096" width="9" style="11"/>
    <col min="4097" max="4097" width="3.59765625" style="11" customWidth="1"/>
    <col min="4098" max="4098" width="7.09765625" style="11" customWidth="1"/>
    <col min="4099" max="4099" width="67.09765625" style="11" customWidth="1"/>
    <col min="4100" max="4100" width="7" style="11" bestFit="1" customWidth="1"/>
    <col min="4101" max="4101" width="11.09765625" style="11" customWidth="1"/>
    <col min="4102" max="4102" width="16.09765625" style="11" customWidth="1"/>
    <col min="4103" max="4105" width="9" style="11"/>
    <col min="4106" max="4107" width="10" style="11" customWidth="1"/>
    <col min="4108" max="4352" width="9" style="11"/>
    <col min="4353" max="4353" width="3.59765625" style="11" customWidth="1"/>
    <col min="4354" max="4354" width="7.09765625" style="11" customWidth="1"/>
    <col min="4355" max="4355" width="67.09765625" style="11" customWidth="1"/>
    <col min="4356" max="4356" width="7" style="11" bestFit="1" customWidth="1"/>
    <col min="4357" max="4357" width="11.09765625" style="11" customWidth="1"/>
    <col min="4358" max="4358" width="16.09765625" style="11" customWidth="1"/>
    <col min="4359" max="4361" width="9" style="11"/>
    <col min="4362" max="4363" width="10" style="11" customWidth="1"/>
    <col min="4364" max="4608" width="9" style="11"/>
    <col min="4609" max="4609" width="3.59765625" style="11" customWidth="1"/>
    <col min="4610" max="4610" width="7.09765625" style="11" customWidth="1"/>
    <col min="4611" max="4611" width="67.09765625" style="11" customWidth="1"/>
    <col min="4612" max="4612" width="7" style="11" bestFit="1" customWidth="1"/>
    <col min="4613" max="4613" width="11.09765625" style="11" customWidth="1"/>
    <col min="4614" max="4614" width="16.09765625" style="11" customWidth="1"/>
    <col min="4615" max="4617" width="9" style="11"/>
    <col min="4618" max="4619" width="10" style="11" customWidth="1"/>
    <col min="4620" max="4864" width="9" style="11"/>
    <col min="4865" max="4865" width="3.59765625" style="11" customWidth="1"/>
    <col min="4866" max="4866" width="7.09765625" style="11" customWidth="1"/>
    <col min="4867" max="4867" width="67.09765625" style="11" customWidth="1"/>
    <col min="4868" max="4868" width="7" style="11" bestFit="1" customWidth="1"/>
    <col min="4869" max="4869" width="11.09765625" style="11" customWidth="1"/>
    <col min="4870" max="4870" width="16.09765625" style="11" customWidth="1"/>
    <col min="4871" max="4873" width="9" style="11"/>
    <col min="4874" max="4875" width="10" style="11" customWidth="1"/>
    <col min="4876" max="5120" width="9" style="11"/>
    <col min="5121" max="5121" width="3.59765625" style="11" customWidth="1"/>
    <col min="5122" max="5122" width="7.09765625" style="11" customWidth="1"/>
    <col min="5123" max="5123" width="67.09765625" style="11" customWidth="1"/>
    <col min="5124" max="5124" width="7" style="11" bestFit="1" customWidth="1"/>
    <col min="5125" max="5125" width="11.09765625" style="11" customWidth="1"/>
    <col min="5126" max="5126" width="16.09765625" style="11" customWidth="1"/>
    <col min="5127" max="5129" width="9" style="11"/>
    <col min="5130" max="5131" width="10" style="11" customWidth="1"/>
    <col min="5132" max="5376" width="9" style="11"/>
    <col min="5377" max="5377" width="3.59765625" style="11" customWidth="1"/>
    <col min="5378" max="5378" width="7.09765625" style="11" customWidth="1"/>
    <col min="5379" max="5379" width="67.09765625" style="11" customWidth="1"/>
    <col min="5380" max="5380" width="7" style="11" bestFit="1" customWidth="1"/>
    <col min="5381" max="5381" width="11.09765625" style="11" customWidth="1"/>
    <col min="5382" max="5382" width="16.09765625" style="11" customWidth="1"/>
    <col min="5383" max="5385" width="9" style="11"/>
    <col min="5386" max="5387" width="10" style="11" customWidth="1"/>
    <col min="5388" max="5632" width="9" style="11"/>
    <col min="5633" max="5633" width="3.59765625" style="11" customWidth="1"/>
    <col min="5634" max="5634" width="7.09765625" style="11" customWidth="1"/>
    <col min="5635" max="5635" width="67.09765625" style="11" customWidth="1"/>
    <col min="5636" max="5636" width="7" style="11" bestFit="1" customWidth="1"/>
    <col min="5637" max="5637" width="11.09765625" style="11" customWidth="1"/>
    <col min="5638" max="5638" width="16.09765625" style="11" customWidth="1"/>
    <col min="5639" max="5641" width="9" style="11"/>
    <col min="5642" max="5643" width="10" style="11" customWidth="1"/>
    <col min="5644" max="5888" width="9" style="11"/>
    <col min="5889" max="5889" width="3.59765625" style="11" customWidth="1"/>
    <col min="5890" max="5890" width="7.09765625" style="11" customWidth="1"/>
    <col min="5891" max="5891" width="67.09765625" style="11" customWidth="1"/>
    <col min="5892" max="5892" width="7" style="11" bestFit="1" customWidth="1"/>
    <col min="5893" max="5893" width="11.09765625" style="11" customWidth="1"/>
    <col min="5894" max="5894" width="16.09765625" style="11" customWidth="1"/>
    <col min="5895" max="5897" width="9" style="11"/>
    <col min="5898" max="5899" width="10" style="11" customWidth="1"/>
    <col min="5900" max="6144" width="9" style="11"/>
    <col min="6145" max="6145" width="3.59765625" style="11" customWidth="1"/>
    <col min="6146" max="6146" width="7.09765625" style="11" customWidth="1"/>
    <col min="6147" max="6147" width="67.09765625" style="11" customWidth="1"/>
    <col min="6148" max="6148" width="7" style="11" bestFit="1" customWidth="1"/>
    <col min="6149" max="6149" width="11.09765625" style="11" customWidth="1"/>
    <col min="6150" max="6150" width="16.09765625" style="11" customWidth="1"/>
    <col min="6151" max="6153" width="9" style="11"/>
    <col min="6154" max="6155" width="10" style="11" customWidth="1"/>
    <col min="6156" max="6400" width="9" style="11"/>
    <col min="6401" max="6401" width="3.59765625" style="11" customWidth="1"/>
    <col min="6402" max="6402" width="7.09765625" style="11" customWidth="1"/>
    <col min="6403" max="6403" width="67.09765625" style="11" customWidth="1"/>
    <col min="6404" max="6404" width="7" style="11" bestFit="1" customWidth="1"/>
    <col min="6405" max="6405" width="11.09765625" style="11" customWidth="1"/>
    <col min="6406" max="6406" width="16.09765625" style="11" customWidth="1"/>
    <col min="6407" max="6409" width="9" style="11"/>
    <col min="6410" max="6411" width="10" style="11" customWidth="1"/>
    <col min="6412" max="6656" width="9" style="11"/>
    <col min="6657" max="6657" width="3.59765625" style="11" customWidth="1"/>
    <col min="6658" max="6658" width="7.09765625" style="11" customWidth="1"/>
    <col min="6659" max="6659" width="67.09765625" style="11" customWidth="1"/>
    <col min="6660" max="6660" width="7" style="11" bestFit="1" customWidth="1"/>
    <col min="6661" max="6661" width="11.09765625" style="11" customWidth="1"/>
    <col min="6662" max="6662" width="16.09765625" style="11" customWidth="1"/>
    <col min="6663" max="6665" width="9" style="11"/>
    <col min="6666" max="6667" width="10" style="11" customWidth="1"/>
    <col min="6668" max="6912" width="9" style="11"/>
    <col min="6913" max="6913" width="3.59765625" style="11" customWidth="1"/>
    <col min="6914" max="6914" width="7.09765625" style="11" customWidth="1"/>
    <col min="6915" max="6915" width="67.09765625" style="11" customWidth="1"/>
    <col min="6916" max="6916" width="7" style="11" bestFit="1" customWidth="1"/>
    <col min="6917" max="6917" width="11.09765625" style="11" customWidth="1"/>
    <col min="6918" max="6918" width="16.09765625" style="11" customWidth="1"/>
    <col min="6919" max="6921" width="9" style="11"/>
    <col min="6922" max="6923" width="10" style="11" customWidth="1"/>
    <col min="6924" max="7168" width="9" style="11"/>
    <col min="7169" max="7169" width="3.59765625" style="11" customWidth="1"/>
    <col min="7170" max="7170" width="7.09765625" style="11" customWidth="1"/>
    <col min="7171" max="7171" width="67.09765625" style="11" customWidth="1"/>
    <col min="7172" max="7172" width="7" style="11" bestFit="1" customWidth="1"/>
    <col min="7173" max="7173" width="11.09765625" style="11" customWidth="1"/>
    <col min="7174" max="7174" width="16.09765625" style="11" customWidth="1"/>
    <col min="7175" max="7177" width="9" style="11"/>
    <col min="7178" max="7179" width="10" style="11" customWidth="1"/>
    <col min="7180" max="7424" width="9" style="11"/>
    <col min="7425" max="7425" width="3.59765625" style="11" customWidth="1"/>
    <col min="7426" max="7426" width="7.09765625" style="11" customWidth="1"/>
    <col min="7427" max="7427" width="67.09765625" style="11" customWidth="1"/>
    <col min="7428" max="7428" width="7" style="11" bestFit="1" customWidth="1"/>
    <col min="7429" max="7429" width="11.09765625" style="11" customWidth="1"/>
    <col min="7430" max="7430" width="16.09765625" style="11" customWidth="1"/>
    <col min="7431" max="7433" width="9" style="11"/>
    <col min="7434" max="7435" width="10" style="11" customWidth="1"/>
    <col min="7436" max="7680" width="9" style="11"/>
    <col min="7681" max="7681" width="3.59765625" style="11" customWidth="1"/>
    <col min="7682" max="7682" width="7.09765625" style="11" customWidth="1"/>
    <col min="7683" max="7683" width="67.09765625" style="11" customWidth="1"/>
    <col min="7684" max="7684" width="7" style="11" bestFit="1" customWidth="1"/>
    <col min="7685" max="7685" width="11.09765625" style="11" customWidth="1"/>
    <col min="7686" max="7686" width="16.09765625" style="11" customWidth="1"/>
    <col min="7687" max="7689" width="9" style="11"/>
    <col min="7690" max="7691" width="10" style="11" customWidth="1"/>
    <col min="7692" max="7936" width="9" style="11"/>
    <col min="7937" max="7937" width="3.59765625" style="11" customWidth="1"/>
    <col min="7938" max="7938" width="7.09765625" style="11" customWidth="1"/>
    <col min="7939" max="7939" width="67.09765625" style="11" customWidth="1"/>
    <col min="7940" max="7940" width="7" style="11" bestFit="1" customWidth="1"/>
    <col min="7941" max="7941" width="11.09765625" style="11" customWidth="1"/>
    <col min="7942" max="7942" width="16.09765625" style="11" customWidth="1"/>
    <col min="7943" max="7945" width="9" style="11"/>
    <col min="7946" max="7947" width="10" style="11" customWidth="1"/>
    <col min="7948" max="8192" width="9" style="11"/>
    <col min="8193" max="8193" width="3.59765625" style="11" customWidth="1"/>
    <col min="8194" max="8194" width="7.09765625" style="11" customWidth="1"/>
    <col min="8195" max="8195" width="67.09765625" style="11" customWidth="1"/>
    <col min="8196" max="8196" width="7" style="11" bestFit="1" customWidth="1"/>
    <col min="8197" max="8197" width="11.09765625" style="11" customWidth="1"/>
    <col min="8198" max="8198" width="16.09765625" style="11" customWidth="1"/>
    <col min="8199" max="8201" width="9" style="11"/>
    <col min="8202" max="8203" width="10" style="11" customWidth="1"/>
    <col min="8204" max="8448" width="9" style="11"/>
    <col min="8449" max="8449" width="3.59765625" style="11" customWidth="1"/>
    <col min="8450" max="8450" width="7.09765625" style="11" customWidth="1"/>
    <col min="8451" max="8451" width="67.09765625" style="11" customWidth="1"/>
    <col min="8452" max="8452" width="7" style="11" bestFit="1" customWidth="1"/>
    <col min="8453" max="8453" width="11.09765625" style="11" customWidth="1"/>
    <col min="8454" max="8454" width="16.09765625" style="11" customWidth="1"/>
    <col min="8455" max="8457" width="9" style="11"/>
    <col min="8458" max="8459" width="10" style="11" customWidth="1"/>
    <col min="8460" max="8704" width="9" style="11"/>
    <col min="8705" max="8705" width="3.59765625" style="11" customWidth="1"/>
    <col min="8706" max="8706" width="7.09765625" style="11" customWidth="1"/>
    <col min="8707" max="8707" width="67.09765625" style="11" customWidth="1"/>
    <col min="8708" max="8708" width="7" style="11" bestFit="1" customWidth="1"/>
    <col min="8709" max="8709" width="11.09765625" style="11" customWidth="1"/>
    <col min="8710" max="8710" width="16.09765625" style="11" customWidth="1"/>
    <col min="8711" max="8713" width="9" style="11"/>
    <col min="8714" max="8715" width="10" style="11" customWidth="1"/>
    <col min="8716" max="8960" width="9" style="11"/>
    <col min="8961" max="8961" width="3.59765625" style="11" customWidth="1"/>
    <col min="8962" max="8962" width="7.09765625" style="11" customWidth="1"/>
    <col min="8963" max="8963" width="67.09765625" style="11" customWidth="1"/>
    <col min="8964" max="8964" width="7" style="11" bestFit="1" customWidth="1"/>
    <col min="8965" max="8965" width="11.09765625" style="11" customWidth="1"/>
    <col min="8966" max="8966" width="16.09765625" style="11" customWidth="1"/>
    <col min="8967" max="8969" width="9" style="11"/>
    <col min="8970" max="8971" width="10" style="11" customWidth="1"/>
    <col min="8972" max="9216" width="9" style="11"/>
    <col min="9217" max="9217" width="3.59765625" style="11" customWidth="1"/>
    <col min="9218" max="9218" width="7.09765625" style="11" customWidth="1"/>
    <col min="9219" max="9219" width="67.09765625" style="11" customWidth="1"/>
    <col min="9220" max="9220" width="7" style="11" bestFit="1" customWidth="1"/>
    <col min="9221" max="9221" width="11.09765625" style="11" customWidth="1"/>
    <col min="9222" max="9222" width="16.09765625" style="11" customWidth="1"/>
    <col min="9223" max="9225" width="9" style="11"/>
    <col min="9226" max="9227" width="10" style="11" customWidth="1"/>
    <col min="9228" max="9472" width="9" style="11"/>
    <col min="9473" max="9473" width="3.59765625" style="11" customWidth="1"/>
    <col min="9474" max="9474" width="7.09765625" style="11" customWidth="1"/>
    <col min="9475" max="9475" width="67.09765625" style="11" customWidth="1"/>
    <col min="9476" max="9476" width="7" style="11" bestFit="1" customWidth="1"/>
    <col min="9477" max="9477" width="11.09765625" style="11" customWidth="1"/>
    <col min="9478" max="9478" width="16.09765625" style="11" customWidth="1"/>
    <col min="9479" max="9481" width="9" style="11"/>
    <col min="9482" max="9483" width="10" style="11" customWidth="1"/>
    <col min="9484" max="9728" width="9" style="11"/>
    <col min="9729" max="9729" width="3.59765625" style="11" customWidth="1"/>
    <col min="9730" max="9730" width="7.09765625" style="11" customWidth="1"/>
    <col min="9731" max="9731" width="67.09765625" style="11" customWidth="1"/>
    <col min="9732" max="9732" width="7" style="11" bestFit="1" customWidth="1"/>
    <col min="9733" max="9733" width="11.09765625" style="11" customWidth="1"/>
    <col min="9734" max="9734" width="16.09765625" style="11" customWidth="1"/>
    <col min="9735" max="9737" width="9" style="11"/>
    <col min="9738" max="9739" width="10" style="11" customWidth="1"/>
    <col min="9740" max="9984" width="9" style="11"/>
    <col min="9985" max="9985" width="3.59765625" style="11" customWidth="1"/>
    <col min="9986" max="9986" width="7.09765625" style="11" customWidth="1"/>
    <col min="9987" max="9987" width="67.09765625" style="11" customWidth="1"/>
    <col min="9988" max="9988" width="7" style="11" bestFit="1" customWidth="1"/>
    <col min="9989" max="9989" width="11.09765625" style="11" customWidth="1"/>
    <col min="9990" max="9990" width="16.09765625" style="11" customWidth="1"/>
    <col min="9991" max="9993" width="9" style="11"/>
    <col min="9994" max="9995" width="10" style="11" customWidth="1"/>
    <col min="9996" max="10240" width="9" style="11"/>
    <col min="10241" max="10241" width="3.59765625" style="11" customWidth="1"/>
    <col min="10242" max="10242" width="7.09765625" style="11" customWidth="1"/>
    <col min="10243" max="10243" width="67.09765625" style="11" customWidth="1"/>
    <col min="10244" max="10244" width="7" style="11" bestFit="1" customWidth="1"/>
    <col min="10245" max="10245" width="11.09765625" style="11" customWidth="1"/>
    <col min="10246" max="10246" width="16.09765625" style="11" customWidth="1"/>
    <col min="10247" max="10249" width="9" style="11"/>
    <col min="10250" max="10251" width="10" style="11" customWidth="1"/>
    <col min="10252" max="10496" width="9" style="11"/>
    <col min="10497" max="10497" width="3.59765625" style="11" customWidth="1"/>
    <col min="10498" max="10498" width="7.09765625" style="11" customWidth="1"/>
    <col min="10499" max="10499" width="67.09765625" style="11" customWidth="1"/>
    <col min="10500" max="10500" width="7" style="11" bestFit="1" customWidth="1"/>
    <col min="10501" max="10501" width="11.09765625" style="11" customWidth="1"/>
    <col min="10502" max="10502" width="16.09765625" style="11" customWidth="1"/>
    <col min="10503" max="10505" width="9" style="11"/>
    <col min="10506" max="10507" width="10" style="11" customWidth="1"/>
    <col min="10508" max="10752" width="9" style="11"/>
    <col min="10753" max="10753" width="3.59765625" style="11" customWidth="1"/>
    <col min="10754" max="10754" width="7.09765625" style="11" customWidth="1"/>
    <col min="10755" max="10755" width="67.09765625" style="11" customWidth="1"/>
    <col min="10756" max="10756" width="7" style="11" bestFit="1" customWidth="1"/>
    <col min="10757" max="10757" width="11.09765625" style="11" customWidth="1"/>
    <col min="10758" max="10758" width="16.09765625" style="11" customWidth="1"/>
    <col min="10759" max="10761" width="9" style="11"/>
    <col min="10762" max="10763" width="10" style="11" customWidth="1"/>
    <col min="10764" max="11008" width="9" style="11"/>
    <col min="11009" max="11009" width="3.59765625" style="11" customWidth="1"/>
    <col min="11010" max="11010" width="7.09765625" style="11" customWidth="1"/>
    <col min="11011" max="11011" width="67.09765625" style="11" customWidth="1"/>
    <col min="11012" max="11012" width="7" style="11" bestFit="1" customWidth="1"/>
    <col min="11013" max="11013" width="11.09765625" style="11" customWidth="1"/>
    <col min="11014" max="11014" width="16.09765625" style="11" customWidth="1"/>
    <col min="11015" max="11017" width="9" style="11"/>
    <col min="11018" max="11019" width="10" style="11" customWidth="1"/>
    <col min="11020" max="11264" width="9" style="11"/>
    <col min="11265" max="11265" width="3.59765625" style="11" customWidth="1"/>
    <col min="11266" max="11266" width="7.09765625" style="11" customWidth="1"/>
    <col min="11267" max="11267" width="67.09765625" style="11" customWidth="1"/>
    <col min="11268" max="11268" width="7" style="11" bestFit="1" customWidth="1"/>
    <col min="11269" max="11269" width="11.09765625" style="11" customWidth="1"/>
    <col min="11270" max="11270" width="16.09765625" style="11" customWidth="1"/>
    <col min="11271" max="11273" width="9" style="11"/>
    <col min="11274" max="11275" width="10" style="11" customWidth="1"/>
    <col min="11276" max="11520" width="9" style="11"/>
    <col min="11521" max="11521" width="3.59765625" style="11" customWidth="1"/>
    <col min="11522" max="11522" width="7.09765625" style="11" customWidth="1"/>
    <col min="11523" max="11523" width="67.09765625" style="11" customWidth="1"/>
    <col min="11524" max="11524" width="7" style="11" bestFit="1" customWidth="1"/>
    <col min="11525" max="11525" width="11.09765625" style="11" customWidth="1"/>
    <col min="11526" max="11526" width="16.09765625" style="11" customWidth="1"/>
    <col min="11527" max="11529" width="9" style="11"/>
    <col min="11530" max="11531" width="10" style="11" customWidth="1"/>
    <col min="11532" max="11776" width="9" style="11"/>
    <col min="11777" max="11777" width="3.59765625" style="11" customWidth="1"/>
    <col min="11778" max="11778" width="7.09765625" style="11" customWidth="1"/>
    <col min="11779" max="11779" width="67.09765625" style="11" customWidth="1"/>
    <col min="11780" max="11780" width="7" style="11" bestFit="1" customWidth="1"/>
    <col min="11781" max="11781" width="11.09765625" style="11" customWidth="1"/>
    <col min="11782" max="11782" width="16.09765625" style="11" customWidth="1"/>
    <col min="11783" max="11785" width="9" style="11"/>
    <col min="11786" max="11787" width="10" style="11" customWidth="1"/>
    <col min="11788" max="12032" width="9" style="11"/>
    <col min="12033" max="12033" width="3.59765625" style="11" customWidth="1"/>
    <col min="12034" max="12034" width="7.09765625" style="11" customWidth="1"/>
    <col min="12035" max="12035" width="67.09765625" style="11" customWidth="1"/>
    <col min="12036" max="12036" width="7" style="11" bestFit="1" customWidth="1"/>
    <col min="12037" max="12037" width="11.09765625" style="11" customWidth="1"/>
    <col min="12038" max="12038" width="16.09765625" style="11" customWidth="1"/>
    <col min="12039" max="12041" width="9" style="11"/>
    <col min="12042" max="12043" width="10" style="11" customWidth="1"/>
    <col min="12044" max="12288" width="9" style="11"/>
    <col min="12289" max="12289" width="3.59765625" style="11" customWidth="1"/>
    <col min="12290" max="12290" width="7.09765625" style="11" customWidth="1"/>
    <col min="12291" max="12291" width="67.09765625" style="11" customWidth="1"/>
    <col min="12292" max="12292" width="7" style="11" bestFit="1" customWidth="1"/>
    <col min="12293" max="12293" width="11.09765625" style="11" customWidth="1"/>
    <col min="12294" max="12294" width="16.09765625" style="11" customWidth="1"/>
    <col min="12295" max="12297" width="9" style="11"/>
    <col min="12298" max="12299" width="10" style="11" customWidth="1"/>
    <col min="12300" max="12544" width="9" style="11"/>
    <col min="12545" max="12545" width="3.59765625" style="11" customWidth="1"/>
    <col min="12546" max="12546" width="7.09765625" style="11" customWidth="1"/>
    <col min="12547" max="12547" width="67.09765625" style="11" customWidth="1"/>
    <col min="12548" max="12548" width="7" style="11" bestFit="1" customWidth="1"/>
    <col min="12549" max="12549" width="11.09765625" style="11" customWidth="1"/>
    <col min="12550" max="12550" width="16.09765625" style="11" customWidth="1"/>
    <col min="12551" max="12553" width="9" style="11"/>
    <col min="12554" max="12555" width="10" style="11" customWidth="1"/>
    <col min="12556" max="12800" width="9" style="11"/>
    <col min="12801" max="12801" width="3.59765625" style="11" customWidth="1"/>
    <col min="12802" max="12802" width="7.09765625" style="11" customWidth="1"/>
    <col min="12803" max="12803" width="67.09765625" style="11" customWidth="1"/>
    <col min="12804" max="12804" width="7" style="11" bestFit="1" customWidth="1"/>
    <col min="12805" max="12805" width="11.09765625" style="11" customWidth="1"/>
    <col min="12806" max="12806" width="16.09765625" style="11" customWidth="1"/>
    <col min="12807" max="12809" width="9" style="11"/>
    <col min="12810" max="12811" width="10" style="11" customWidth="1"/>
    <col min="12812" max="13056" width="9" style="11"/>
    <col min="13057" max="13057" width="3.59765625" style="11" customWidth="1"/>
    <col min="13058" max="13058" width="7.09765625" style="11" customWidth="1"/>
    <col min="13059" max="13059" width="67.09765625" style="11" customWidth="1"/>
    <col min="13060" max="13060" width="7" style="11" bestFit="1" customWidth="1"/>
    <col min="13061" max="13061" width="11.09765625" style="11" customWidth="1"/>
    <col min="13062" max="13062" width="16.09765625" style="11" customWidth="1"/>
    <col min="13063" max="13065" width="9" style="11"/>
    <col min="13066" max="13067" width="10" style="11" customWidth="1"/>
    <col min="13068" max="13312" width="9" style="11"/>
    <col min="13313" max="13313" width="3.59765625" style="11" customWidth="1"/>
    <col min="13314" max="13314" width="7.09765625" style="11" customWidth="1"/>
    <col min="13315" max="13315" width="67.09765625" style="11" customWidth="1"/>
    <col min="13316" max="13316" width="7" style="11" bestFit="1" customWidth="1"/>
    <col min="13317" max="13317" width="11.09765625" style="11" customWidth="1"/>
    <col min="13318" max="13318" width="16.09765625" style="11" customWidth="1"/>
    <col min="13319" max="13321" width="9" style="11"/>
    <col min="13322" max="13323" width="10" style="11" customWidth="1"/>
    <col min="13324" max="13568" width="9" style="11"/>
    <col min="13569" max="13569" width="3.59765625" style="11" customWidth="1"/>
    <col min="13570" max="13570" width="7.09765625" style="11" customWidth="1"/>
    <col min="13571" max="13571" width="67.09765625" style="11" customWidth="1"/>
    <col min="13572" max="13572" width="7" style="11" bestFit="1" customWidth="1"/>
    <col min="13573" max="13573" width="11.09765625" style="11" customWidth="1"/>
    <col min="13574" max="13574" width="16.09765625" style="11" customWidth="1"/>
    <col min="13575" max="13577" width="9" style="11"/>
    <col min="13578" max="13579" width="10" style="11" customWidth="1"/>
    <col min="13580" max="13824" width="9" style="11"/>
    <col min="13825" max="13825" width="3.59765625" style="11" customWidth="1"/>
    <col min="13826" max="13826" width="7.09765625" style="11" customWidth="1"/>
    <col min="13827" max="13827" width="67.09765625" style="11" customWidth="1"/>
    <col min="13828" max="13828" width="7" style="11" bestFit="1" customWidth="1"/>
    <col min="13829" max="13829" width="11.09765625" style="11" customWidth="1"/>
    <col min="13830" max="13830" width="16.09765625" style="11" customWidth="1"/>
    <col min="13831" max="13833" width="9" style="11"/>
    <col min="13834" max="13835" width="10" style="11" customWidth="1"/>
    <col min="13836" max="14080" width="9" style="11"/>
    <col min="14081" max="14081" width="3.59765625" style="11" customWidth="1"/>
    <col min="14082" max="14082" width="7.09765625" style="11" customWidth="1"/>
    <col min="14083" max="14083" width="67.09765625" style="11" customWidth="1"/>
    <col min="14084" max="14084" width="7" style="11" bestFit="1" customWidth="1"/>
    <col min="14085" max="14085" width="11.09765625" style="11" customWidth="1"/>
    <col min="14086" max="14086" width="16.09765625" style="11" customWidth="1"/>
    <col min="14087" max="14089" width="9" style="11"/>
    <col min="14090" max="14091" width="10" style="11" customWidth="1"/>
    <col min="14092" max="14336" width="9" style="11"/>
    <col min="14337" max="14337" width="3.59765625" style="11" customWidth="1"/>
    <col min="14338" max="14338" width="7.09765625" style="11" customWidth="1"/>
    <col min="14339" max="14339" width="67.09765625" style="11" customWidth="1"/>
    <col min="14340" max="14340" width="7" style="11" bestFit="1" customWidth="1"/>
    <col min="14341" max="14341" width="11.09765625" style="11" customWidth="1"/>
    <col min="14342" max="14342" width="16.09765625" style="11" customWidth="1"/>
    <col min="14343" max="14345" width="9" style="11"/>
    <col min="14346" max="14347" width="10" style="11" customWidth="1"/>
    <col min="14348" max="14592" width="9" style="11"/>
    <col min="14593" max="14593" width="3.59765625" style="11" customWidth="1"/>
    <col min="14594" max="14594" width="7.09765625" style="11" customWidth="1"/>
    <col min="14595" max="14595" width="67.09765625" style="11" customWidth="1"/>
    <col min="14596" max="14596" width="7" style="11" bestFit="1" customWidth="1"/>
    <col min="14597" max="14597" width="11.09765625" style="11" customWidth="1"/>
    <col min="14598" max="14598" width="16.09765625" style="11" customWidth="1"/>
    <col min="14599" max="14601" width="9" style="11"/>
    <col min="14602" max="14603" width="10" style="11" customWidth="1"/>
    <col min="14604" max="14848" width="9" style="11"/>
    <col min="14849" max="14849" width="3.59765625" style="11" customWidth="1"/>
    <col min="14850" max="14850" width="7.09765625" style="11" customWidth="1"/>
    <col min="14851" max="14851" width="67.09765625" style="11" customWidth="1"/>
    <col min="14852" max="14852" width="7" style="11" bestFit="1" customWidth="1"/>
    <col min="14853" max="14853" width="11.09765625" style="11" customWidth="1"/>
    <col min="14854" max="14854" width="16.09765625" style="11" customWidth="1"/>
    <col min="14855" max="14857" width="9" style="11"/>
    <col min="14858" max="14859" width="10" style="11" customWidth="1"/>
    <col min="14860" max="15104" width="9" style="11"/>
    <col min="15105" max="15105" width="3.59765625" style="11" customWidth="1"/>
    <col min="15106" max="15106" width="7.09765625" style="11" customWidth="1"/>
    <col min="15107" max="15107" width="67.09765625" style="11" customWidth="1"/>
    <col min="15108" max="15108" width="7" style="11" bestFit="1" customWidth="1"/>
    <col min="15109" max="15109" width="11.09765625" style="11" customWidth="1"/>
    <col min="15110" max="15110" width="16.09765625" style="11" customWidth="1"/>
    <col min="15111" max="15113" width="9" style="11"/>
    <col min="15114" max="15115" width="10" style="11" customWidth="1"/>
    <col min="15116" max="15360" width="9" style="11"/>
    <col min="15361" max="15361" width="3.59765625" style="11" customWidth="1"/>
    <col min="15362" max="15362" width="7.09765625" style="11" customWidth="1"/>
    <col min="15363" max="15363" width="67.09765625" style="11" customWidth="1"/>
    <col min="15364" max="15364" width="7" style="11" bestFit="1" customWidth="1"/>
    <col min="15365" max="15365" width="11.09765625" style="11" customWidth="1"/>
    <col min="15366" max="15366" width="16.09765625" style="11" customWidth="1"/>
    <col min="15367" max="15369" width="9" style="11"/>
    <col min="15370" max="15371" width="10" style="11" customWidth="1"/>
    <col min="15372" max="15616" width="9" style="11"/>
    <col min="15617" max="15617" width="3.59765625" style="11" customWidth="1"/>
    <col min="15618" max="15618" width="7.09765625" style="11" customWidth="1"/>
    <col min="15619" max="15619" width="67.09765625" style="11" customWidth="1"/>
    <col min="15620" max="15620" width="7" style="11" bestFit="1" customWidth="1"/>
    <col min="15621" max="15621" width="11.09765625" style="11" customWidth="1"/>
    <col min="15622" max="15622" width="16.09765625" style="11" customWidth="1"/>
    <col min="15623" max="15625" width="9" style="11"/>
    <col min="15626" max="15627" width="10" style="11" customWidth="1"/>
    <col min="15628" max="15872" width="9" style="11"/>
    <col min="15873" max="15873" width="3.59765625" style="11" customWidth="1"/>
    <col min="15874" max="15874" width="7.09765625" style="11" customWidth="1"/>
    <col min="15875" max="15875" width="67.09765625" style="11" customWidth="1"/>
    <col min="15876" max="15876" width="7" style="11" bestFit="1" customWidth="1"/>
    <col min="15877" max="15877" width="11.09765625" style="11" customWidth="1"/>
    <col min="15878" max="15878" width="16.09765625" style="11" customWidth="1"/>
    <col min="15879" max="15881" width="9" style="11"/>
    <col min="15882" max="15883" width="10" style="11" customWidth="1"/>
    <col min="15884" max="16128" width="9" style="11"/>
    <col min="16129" max="16129" width="3.59765625" style="11" customWidth="1"/>
    <col min="16130" max="16130" width="7.09765625" style="11" customWidth="1"/>
    <col min="16131" max="16131" width="67.09765625" style="11" customWidth="1"/>
    <col min="16132" max="16132" width="7" style="11" bestFit="1" customWidth="1"/>
    <col min="16133" max="16133" width="11.09765625" style="11" customWidth="1"/>
    <col min="16134" max="16134" width="16.09765625" style="11" customWidth="1"/>
    <col min="16135" max="16137" width="9" style="11"/>
    <col min="16138" max="16139" width="10" style="11" customWidth="1"/>
    <col min="16140" max="16384" width="9" style="11"/>
  </cols>
  <sheetData>
    <row r="1" spans="1:7" s="10" customFormat="1" ht="20.100000000000001" customHeight="1">
      <c r="A1" s="9" t="s">
        <v>207</v>
      </c>
      <c r="B1" s="136"/>
      <c r="C1" s="137"/>
      <c r="D1" s="138"/>
      <c r="E1" s="13" t="s">
        <v>9</v>
      </c>
      <c r="F1" s="12"/>
      <c r="G1" s="110"/>
    </row>
    <row r="2" spans="1:7" ht="14.1" customHeight="1">
      <c r="B2" s="14"/>
      <c r="E2" s="15" t="s">
        <v>84</v>
      </c>
    </row>
    <row r="3" spans="1:7" ht="14.1" customHeight="1">
      <c r="A3" s="163" t="s">
        <v>208</v>
      </c>
      <c r="B3" s="163"/>
      <c r="C3" s="163"/>
      <c r="D3" s="163"/>
    </row>
    <row r="4" spans="1:7" ht="14.1" customHeight="1">
      <c r="A4" s="163" t="s">
        <v>10</v>
      </c>
      <c r="B4" s="163"/>
      <c r="C4" s="112" t="s">
        <v>208</v>
      </c>
      <c r="D4" s="131" t="s">
        <v>11</v>
      </c>
    </row>
    <row r="5" spans="1:7" ht="14.1" customHeight="1">
      <c r="A5" s="113" t="str">
        <f>$E$2&amp;"1"</f>
        <v>U1</v>
      </c>
      <c r="B5" s="113" t="s">
        <v>227</v>
      </c>
      <c r="C5" s="113"/>
      <c r="D5" s="132"/>
    </row>
    <row r="6" spans="1:7" ht="14.1" customHeight="1">
      <c r="A6" s="117"/>
      <c r="B6" s="118" t="s">
        <v>89</v>
      </c>
      <c r="C6" s="119" t="s">
        <v>49</v>
      </c>
      <c r="D6" s="15" t="s">
        <v>50</v>
      </c>
      <c r="G6" s="111" t="s">
        <v>167</v>
      </c>
    </row>
    <row r="7" spans="1:7" ht="14.1" customHeight="1">
      <c r="A7" s="120"/>
      <c r="B7" s="118" t="s">
        <v>90</v>
      </c>
      <c r="C7" s="119" t="s">
        <v>51</v>
      </c>
      <c r="D7" s="15" t="s">
        <v>50</v>
      </c>
      <c r="G7" s="111" t="s">
        <v>229</v>
      </c>
    </row>
    <row r="8" spans="1:7" ht="14.1" customHeight="1">
      <c r="A8" s="120"/>
      <c r="B8" s="118" t="s">
        <v>91</v>
      </c>
      <c r="C8" s="119" t="s">
        <v>52</v>
      </c>
      <c r="D8" s="15" t="s">
        <v>50</v>
      </c>
      <c r="G8" s="111" t="s">
        <v>219</v>
      </c>
    </row>
    <row r="9" spans="1:7" ht="14.1" customHeight="1">
      <c r="A9" s="120"/>
      <c r="B9" s="118" t="s">
        <v>92</v>
      </c>
      <c r="C9" s="119" t="s">
        <v>136</v>
      </c>
      <c r="D9" s="15" t="s">
        <v>135</v>
      </c>
      <c r="G9" s="111" t="s">
        <v>205</v>
      </c>
    </row>
    <row r="10" spans="1:7" ht="14.1" customHeight="1">
      <c r="A10" s="120"/>
      <c r="B10" s="118" t="s">
        <v>134</v>
      </c>
      <c r="C10" s="119" t="s">
        <v>53</v>
      </c>
      <c r="D10" s="15" t="s">
        <v>50</v>
      </c>
      <c r="G10" s="111" t="s">
        <v>168</v>
      </c>
    </row>
    <row r="11" spans="1:7" ht="14.1" customHeight="1">
      <c r="A11" s="113" t="str">
        <f>$E$2&amp;"2"</f>
        <v>U2</v>
      </c>
      <c r="B11" s="114" t="s">
        <v>12</v>
      </c>
      <c r="C11" s="115"/>
      <c r="D11" s="116"/>
    </row>
    <row r="12" spans="1:7" ht="14.1" customHeight="1">
      <c r="A12" s="117"/>
      <c r="B12" s="118" t="s">
        <v>137</v>
      </c>
      <c r="C12" s="119" t="s">
        <v>54</v>
      </c>
      <c r="D12" s="15" t="s">
        <v>50</v>
      </c>
      <c r="G12" s="111" t="s">
        <v>169</v>
      </c>
    </row>
    <row r="13" spans="1:7" ht="14.1" customHeight="1">
      <c r="A13" s="120"/>
      <c r="B13" s="118" t="s">
        <v>138</v>
      </c>
      <c r="C13" s="119" t="s">
        <v>55</v>
      </c>
      <c r="D13" s="15" t="s">
        <v>50</v>
      </c>
      <c r="G13" s="111" t="s">
        <v>170</v>
      </c>
    </row>
    <row r="14" spans="1:7" ht="14.1" customHeight="1">
      <c r="A14" s="120"/>
      <c r="B14" s="118" t="s">
        <v>139</v>
      </c>
      <c r="C14" s="119" t="s">
        <v>56</v>
      </c>
      <c r="D14" s="15" t="s">
        <v>50</v>
      </c>
      <c r="G14" s="111" t="s">
        <v>171</v>
      </c>
    </row>
    <row r="15" spans="1:7" ht="14.1" customHeight="1">
      <c r="A15" s="120"/>
      <c r="B15" s="118" t="s">
        <v>140</v>
      </c>
      <c r="C15" s="119" t="s">
        <v>57</v>
      </c>
      <c r="D15" s="15" t="s">
        <v>50</v>
      </c>
      <c r="G15" s="111" t="s">
        <v>172</v>
      </c>
    </row>
    <row r="16" spans="1:7" ht="14.1" customHeight="1">
      <c r="A16" s="120"/>
      <c r="B16" s="118" t="s">
        <v>141</v>
      </c>
      <c r="C16" s="119" t="s">
        <v>58</v>
      </c>
      <c r="D16" s="15" t="s">
        <v>50</v>
      </c>
      <c r="G16" s="111" t="s">
        <v>173</v>
      </c>
    </row>
    <row r="17" spans="1:7" ht="14.1" customHeight="1">
      <c r="A17" s="120"/>
      <c r="B17" s="118" t="s">
        <v>142</v>
      </c>
      <c r="C17" s="119" t="s">
        <v>59</v>
      </c>
      <c r="D17" s="15" t="s">
        <v>50</v>
      </c>
      <c r="G17" s="111" t="s">
        <v>174</v>
      </c>
    </row>
    <row r="18" spans="1:7" ht="14.1" customHeight="1">
      <c r="A18" s="120"/>
      <c r="B18" s="118" t="s">
        <v>143</v>
      </c>
      <c r="C18" s="119" t="s">
        <v>60</v>
      </c>
      <c r="D18" s="15" t="s">
        <v>50</v>
      </c>
      <c r="G18" s="111" t="s">
        <v>175</v>
      </c>
    </row>
    <row r="19" spans="1:7" ht="14.1" customHeight="1">
      <c r="A19" s="120"/>
      <c r="B19" s="118" t="s">
        <v>144</v>
      </c>
      <c r="C19" s="119" t="s">
        <v>61</v>
      </c>
      <c r="D19" s="15" t="s">
        <v>50</v>
      </c>
      <c r="G19" s="111" t="s">
        <v>176</v>
      </c>
    </row>
    <row r="20" spans="1:7" ht="14.1" customHeight="1">
      <c r="A20" s="120"/>
      <c r="B20" s="118" t="s">
        <v>145</v>
      </c>
      <c r="C20" s="119" t="s">
        <v>62</v>
      </c>
      <c r="D20" s="15" t="s">
        <v>50</v>
      </c>
      <c r="G20" s="111" t="s">
        <v>177</v>
      </c>
    </row>
    <row r="21" spans="1:7" ht="14.1" customHeight="1">
      <c r="A21" s="120"/>
      <c r="B21" s="118" t="s">
        <v>146</v>
      </c>
      <c r="C21" s="119" t="s">
        <v>63</v>
      </c>
      <c r="D21" s="15" t="s">
        <v>50</v>
      </c>
      <c r="G21" s="111" t="s">
        <v>178</v>
      </c>
    </row>
    <row r="22" spans="1:7" ht="14.1" customHeight="1">
      <c r="A22" s="120"/>
      <c r="B22" s="118" t="s">
        <v>147</v>
      </c>
      <c r="C22" s="119" t="s">
        <v>64</v>
      </c>
      <c r="D22" s="15" t="s">
        <v>50</v>
      </c>
      <c r="G22" s="111" t="s">
        <v>179</v>
      </c>
    </row>
    <row r="23" spans="1:7" ht="14.1" customHeight="1">
      <c r="A23" s="120"/>
      <c r="B23" s="118" t="s">
        <v>180</v>
      </c>
      <c r="C23" s="119" t="s">
        <v>65</v>
      </c>
      <c r="D23" s="15" t="s">
        <v>50</v>
      </c>
      <c r="G23" s="111" t="s">
        <v>185</v>
      </c>
    </row>
    <row r="24" spans="1:7" ht="14.1" customHeight="1">
      <c r="A24" s="120"/>
      <c r="B24" s="118" t="s">
        <v>148</v>
      </c>
      <c r="C24" s="121" t="s">
        <v>66</v>
      </c>
      <c r="D24" s="15" t="s">
        <v>50</v>
      </c>
      <c r="G24" s="111" t="s">
        <v>186</v>
      </c>
    </row>
    <row r="25" spans="1:7" ht="14.1" customHeight="1">
      <c r="A25" s="120"/>
      <c r="B25" s="118" t="s">
        <v>149</v>
      </c>
      <c r="C25" s="122" t="s">
        <v>150</v>
      </c>
      <c r="D25" s="15" t="s">
        <v>50</v>
      </c>
      <c r="G25" s="111" t="s">
        <v>187</v>
      </c>
    </row>
    <row r="26" spans="1:7" ht="14.1" customHeight="1">
      <c r="A26" s="113" t="str">
        <f>$E$2&amp;"3"</f>
        <v>U3</v>
      </c>
      <c r="B26" s="114" t="s">
        <v>13</v>
      </c>
      <c r="C26" s="115"/>
      <c r="D26" s="116"/>
      <c r="E26" s="11"/>
      <c r="F26" s="11"/>
    </row>
    <row r="27" spans="1:7" ht="14.1" customHeight="1">
      <c r="A27" s="117"/>
      <c r="B27" s="118" t="s">
        <v>181</v>
      </c>
      <c r="C27" s="119" t="s">
        <v>67</v>
      </c>
      <c r="D27" s="15" t="s">
        <v>50</v>
      </c>
      <c r="F27" s="11"/>
      <c r="G27" s="111" t="s">
        <v>188</v>
      </c>
    </row>
    <row r="28" spans="1:7" ht="14.1" customHeight="1">
      <c r="A28" s="120"/>
      <c r="B28" s="118" t="s">
        <v>182</v>
      </c>
      <c r="C28" s="119" t="s">
        <v>68</v>
      </c>
      <c r="D28" s="15" t="s">
        <v>50</v>
      </c>
      <c r="F28" s="11"/>
      <c r="G28" s="111" t="s">
        <v>189</v>
      </c>
    </row>
    <row r="29" spans="1:7" ht="14.1" customHeight="1">
      <c r="A29" s="120"/>
      <c r="B29" s="118" t="s">
        <v>151</v>
      </c>
      <c r="C29" s="119" t="s">
        <v>69</v>
      </c>
      <c r="D29" s="15" t="s">
        <v>50</v>
      </c>
      <c r="F29" s="11"/>
      <c r="G29" s="111" t="s">
        <v>190</v>
      </c>
    </row>
    <row r="30" spans="1:7" ht="14.1" customHeight="1">
      <c r="A30" s="120"/>
      <c r="B30" s="118" t="s">
        <v>152</v>
      </c>
      <c r="C30" s="119" t="s">
        <v>70</v>
      </c>
      <c r="D30" s="15" t="s">
        <v>50</v>
      </c>
      <c r="F30" s="11"/>
      <c r="G30" s="111" t="s">
        <v>191</v>
      </c>
    </row>
    <row r="31" spans="1:7" ht="14.1" customHeight="1">
      <c r="A31" s="120"/>
      <c r="B31" s="118" t="s">
        <v>153</v>
      </c>
      <c r="C31" s="119" t="s">
        <v>71</v>
      </c>
      <c r="D31" s="15" t="s">
        <v>50</v>
      </c>
      <c r="F31" s="11"/>
      <c r="G31" s="111" t="s">
        <v>192</v>
      </c>
    </row>
    <row r="32" spans="1:7" ht="14.1" customHeight="1">
      <c r="A32" s="120"/>
      <c r="B32" s="118" t="s">
        <v>154</v>
      </c>
      <c r="C32" s="119" t="s">
        <v>72</v>
      </c>
      <c r="D32" s="15" t="s">
        <v>50</v>
      </c>
      <c r="F32" s="11"/>
      <c r="G32" s="111" t="s">
        <v>193</v>
      </c>
    </row>
    <row r="33" spans="1:7" ht="14.1" customHeight="1">
      <c r="A33" s="120"/>
      <c r="B33" s="118" t="s">
        <v>155</v>
      </c>
      <c r="C33" s="119" t="s">
        <v>73</v>
      </c>
      <c r="D33" s="15" t="s">
        <v>50</v>
      </c>
      <c r="F33" s="11"/>
      <c r="G33" s="111" t="s">
        <v>194</v>
      </c>
    </row>
    <row r="34" spans="1:7" ht="14.1" customHeight="1">
      <c r="A34" s="120"/>
      <c r="B34" s="118" t="s">
        <v>156</v>
      </c>
      <c r="C34" s="119" t="s">
        <v>74</v>
      </c>
      <c r="D34" s="15" t="s">
        <v>50</v>
      </c>
      <c r="F34" s="11"/>
      <c r="G34" s="111" t="s">
        <v>195</v>
      </c>
    </row>
    <row r="35" spans="1:7" ht="14.1" customHeight="1">
      <c r="A35" s="120"/>
      <c r="B35" s="118" t="s">
        <v>157</v>
      </c>
      <c r="C35" s="119" t="s">
        <v>75</v>
      </c>
      <c r="D35" s="15" t="s">
        <v>50</v>
      </c>
      <c r="F35" s="11"/>
      <c r="G35" s="111" t="s">
        <v>196</v>
      </c>
    </row>
    <row r="36" spans="1:7" ht="14.1" customHeight="1">
      <c r="A36" s="120"/>
      <c r="B36" s="118" t="s">
        <v>158</v>
      </c>
      <c r="C36" s="119" t="s">
        <v>76</v>
      </c>
      <c r="D36" s="15" t="s">
        <v>50</v>
      </c>
      <c r="F36" s="11"/>
      <c r="G36" s="111" t="s">
        <v>197</v>
      </c>
    </row>
    <row r="37" spans="1:7" ht="14.1" customHeight="1">
      <c r="A37" s="120"/>
      <c r="B37" s="118" t="s">
        <v>159</v>
      </c>
      <c r="C37" s="119" t="s">
        <v>77</v>
      </c>
      <c r="D37" s="15" t="s">
        <v>50</v>
      </c>
      <c r="F37" s="11"/>
      <c r="G37" s="111" t="s">
        <v>198</v>
      </c>
    </row>
    <row r="38" spans="1:7" ht="14.1" customHeight="1">
      <c r="A38" s="120"/>
      <c r="B38" s="118" t="s">
        <v>160</v>
      </c>
      <c r="C38" s="119" t="s">
        <v>78</v>
      </c>
      <c r="D38" s="15" t="s">
        <v>50</v>
      </c>
      <c r="F38" s="11"/>
      <c r="G38" s="111" t="s">
        <v>199</v>
      </c>
    </row>
    <row r="39" spans="1:7" ht="14.1" customHeight="1">
      <c r="A39" s="120"/>
      <c r="B39" s="118" t="s">
        <v>161</v>
      </c>
      <c r="C39" s="119" t="s">
        <v>79</v>
      </c>
      <c r="D39" s="15" t="s">
        <v>50</v>
      </c>
      <c r="F39" s="11"/>
      <c r="G39" s="111" t="s">
        <v>200</v>
      </c>
    </row>
    <row r="40" spans="1:7" ht="14.1" customHeight="1">
      <c r="A40" s="120"/>
      <c r="B40" s="118" t="s">
        <v>162</v>
      </c>
      <c r="C40" s="119" t="s">
        <v>80</v>
      </c>
      <c r="D40" s="15" t="s">
        <v>50</v>
      </c>
      <c r="F40" s="11"/>
      <c r="G40" s="111" t="s">
        <v>201</v>
      </c>
    </row>
    <row r="41" spans="1:7" ht="14.1" customHeight="1">
      <c r="A41" s="120"/>
      <c r="B41" s="118" t="s">
        <v>163</v>
      </c>
      <c r="C41" s="119" t="s">
        <v>81</v>
      </c>
      <c r="D41" s="15" t="s">
        <v>50</v>
      </c>
      <c r="F41" s="11"/>
      <c r="G41" s="111" t="s">
        <v>202</v>
      </c>
    </row>
    <row r="42" spans="1:7" ht="14.1" customHeight="1">
      <c r="A42" s="113" t="str">
        <f>$E$2&amp;"4"</f>
        <v>U4</v>
      </c>
      <c r="B42" s="114" t="s">
        <v>164</v>
      </c>
      <c r="C42" s="115"/>
      <c r="D42" s="116"/>
      <c r="F42" s="11"/>
    </row>
    <row r="43" spans="1:7" ht="14.1" customHeight="1">
      <c r="A43" s="123"/>
      <c r="B43" s="118" t="s">
        <v>183</v>
      </c>
      <c r="C43" s="119" t="s">
        <v>82</v>
      </c>
      <c r="D43" s="15" t="s">
        <v>50</v>
      </c>
      <c r="F43" s="11"/>
      <c r="G43" s="111" t="s">
        <v>203</v>
      </c>
    </row>
    <row r="44" spans="1:7" ht="14.1" customHeight="1">
      <c r="A44" s="124"/>
      <c r="B44" s="118" t="s">
        <v>184</v>
      </c>
      <c r="C44" s="119" t="s">
        <v>83</v>
      </c>
      <c r="D44" s="15" t="s">
        <v>50</v>
      </c>
      <c r="F44" s="11"/>
      <c r="G44" s="111" t="s">
        <v>204</v>
      </c>
    </row>
    <row r="46" spans="1:7" hidden="1">
      <c r="A46" s="16" t="s">
        <v>14</v>
      </c>
      <c r="B46" s="16"/>
    </row>
    <row r="47" spans="1:7" hidden="1">
      <c r="A47" s="17" t="s">
        <v>15</v>
      </c>
      <c r="B47" s="17">
        <v>3</v>
      </c>
    </row>
    <row r="48" spans="1:7" hidden="1">
      <c r="A48" s="17" t="s">
        <v>16</v>
      </c>
      <c r="B48" s="17">
        <v>2</v>
      </c>
    </row>
    <row r="49" spans="1:3" hidden="1">
      <c r="A49" s="17" t="s">
        <v>17</v>
      </c>
      <c r="B49" s="17">
        <v>1</v>
      </c>
      <c r="C49" s="18"/>
    </row>
    <row r="50" spans="1:3" hidden="1">
      <c r="A50" s="19"/>
      <c r="B50" s="19"/>
    </row>
    <row r="51" spans="1:3" hidden="1">
      <c r="A51" s="16" t="s">
        <v>18</v>
      </c>
      <c r="B51" s="16"/>
    </row>
    <row r="52" spans="1:3" hidden="1">
      <c r="A52" s="17" t="s">
        <v>19</v>
      </c>
      <c r="B52" s="17">
        <v>1</v>
      </c>
    </row>
    <row r="53" spans="1:3" hidden="1">
      <c r="A53" s="17" t="s">
        <v>20</v>
      </c>
      <c r="B53" s="17">
        <v>0</v>
      </c>
    </row>
    <row r="54" spans="1:3" hidden="1">
      <c r="A54" s="17" t="s">
        <v>21</v>
      </c>
      <c r="B54" s="17">
        <v>0</v>
      </c>
    </row>
    <row r="55" spans="1:3">
      <c r="A55" s="19"/>
      <c r="B55" s="19"/>
    </row>
    <row r="56" spans="1:3">
      <c r="A56" s="20"/>
      <c r="B56" s="20"/>
    </row>
  </sheetData>
  <mergeCells count="2">
    <mergeCell ref="A3:D3"/>
    <mergeCell ref="A4:B4"/>
  </mergeCells>
  <phoneticPr fontId="8" type="noConversion"/>
  <printOptions horizontalCentered="1"/>
  <pageMargins left="0.39370078740157483" right="0.39370078740157483" top="0.59055118110236227" bottom="0.59055118110236227" header="0.39370078740157483" footer="0.39370078740157483"/>
  <pageSetup paperSize="9" scale="85" fitToHeight="9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2"/>
  <sheetViews>
    <sheetView showGridLines="0" view="pageBreakPreview" zoomScaleNormal="70" zoomScaleSheetLayoutView="100" zoomScalePageLayoutView="85" workbookViewId="0"/>
  </sheetViews>
  <sheetFormatPr defaultRowHeight="13.2"/>
  <cols>
    <col min="1" max="1" width="7.5" style="25" customWidth="1"/>
    <col min="2" max="6" width="7.5" style="21" customWidth="1"/>
    <col min="7" max="8" width="7.5" style="25" customWidth="1"/>
    <col min="9" max="9" width="7.5" style="25" hidden="1" customWidth="1"/>
    <col min="10" max="11" width="7.5" style="25" customWidth="1"/>
    <col min="12" max="12" width="9.69921875" style="25" customWidth="1"/>
    <col min="13" max="14" width="5.59765625" style="25" customWidth="1"/>
    <col min="15" max="15" width="5.19921875" style="25" customWidth="1"/>
    <col min="16" max="255" width="9" style="25"/>
    <col min="256" max="266" width="7.5" style="25" customWidth="1"/>
    <col min="267" max="267" width="9.69921875" style="25" customWidth="1"/>
    <col min="268" max="268" width="3.5" style="25" bestFit="1" customWidth="1"/>
    <col min="269" max="270" width="5.59765625" style="25" customWidth="1"/>
    <col min="271" max="271" width="5.19921875" style="25" customWidth="1"/>
    <col min="272" max="511" width="9" style="25"/>
    <col min="512" max="522" width="7.5" style="25" customWidth="1"/>
    <col min="523" max="523" width="9.69921875" style="25" customWidth="1"/>
    <col min="524" max="524" width="3.5" style="25" bestFit="1" customWidth="1"/>
    <col min="525" max="526" width="5.59765625" style="25" customWidth="1"/>
    <col min="527" max="527" width="5.19921875" style="25" customWidth="1"/>
    <col min="528" max="767" width="9" style="25"/>
    <col min="768" max="778" width="7.5" style="25" customWidth="1"/>
    <col min="779" max="779" width="9.69921875" style="25" customWidth="1"/>
    <col min="780" max="780" width="3.5" style="25" bestFit="1" customWidth="1"/>
    <col min="781" max="782" width="5.59765625" style="25" customWidth="1"/>
    <col min="783" max="783" width="5.19921875" style="25" customWidth="1"/>
    <col min="784" max="1023" width="9" style="25"/>
    <col min="1024" max="1034" width="7.5" style="25" customWidth="1"/>
    <col min="1035" max="1035" width="9.69921875" style="25" customWidth="1"/>
    <col min="1036" max="1036" width="3.5" style="25" bestFit="1" customWidth="1"/>
    <col min="1037" max="1038" width="5.59765625" style="25" customWidth="1"/>
    <col min="1039" max="1039" width="5.19921875" style="25" customWidth="1"/>
    <col min="1040" max="1279" width="9" style="25"/>
    <col min="1280" max="1290" width="7.5" style="25" customWidth="1"/>
    <col min="1291" max="1291" width="9.69921875" style="25" customWidth="1"/>
    <col min="1292" max="1292" width="3.5" style="25" bestFit="1" customWidth="1"/>
    <col min="1293" max="1294" width="5.59765625" style="25" customWidth="1"/>
    <col min="1295" max="1295" width="5.19921875" style="25" customWidth="1"/>
    <col min="1296" max="1535" width="9" style="25"/>
    <col min="1536" max="1546" width="7.5" style="25" customWidth="1"/>
    <col min="1547" max="1547" width="9.69921875" style="25" customWidth="1"/>
    <col min="1548" max="1548" width="3.5" style="25" bestFit="1" customWidth="1"/>
    <col min="1549" max="1550" width="5.59765625" style="25" customWidth="1"/>
    <col min="1551" max="1551" width="5.19921875" style="25" customWidth="1"/>
    <col min="1552" max="1791" width="9" style="25"/>
    <col min="1792" max="1802" width="7.5" style="25" customWidth="1"/>
    <col min="1803" max="1803" width="9.69921875" style="25" customWidth="1"/>
    <col min="1804" max="1804" width="3.5" style="25" bestFit="1" customWidth="1"/>
    <col min="1805" max="1806" width="5.59765625" style="25" customWidth="1"/>
    <col min="1807" max="1807" width="5.19921875" style="25" customWidth="1"/>
    <col min="1808" max="2047" width="9" style="25"/>
    <col min="2048" max="2058" width="7.5" style="25" customWidth="1"/>
    <col min="2059" max="2059" width="9.69921875" style="25" customWidth="1"/>
    <col min="2060" max="2060" width="3.5" style="25" bestFit="1" customWidth="1"/>
    <col min="2061" max="2062" width="5.59765625" style="25" customWidth="1"/>
    <col min="2063" max="2063" width="5.19921875" style="25" customWidth="1"/>
    <col min="2064" max="2303" width="9" style="25"/>
    <col min="2304" max="2314" width="7.5" style="25" customWidth="1"/>
    <col min="2315" max="2315" width="9.69921875" style="25" customWidth="1"/>
    <col min="2316" max="2316" width="3.5" style="25" bestFit="1" customWidth="1"/>
    <col min="2317" max="2318" width="5.59765625" style="25" customWidth="1"/>
    <col min="2319" max="2319" width="5.19921875" style="25" customWidth="1"/>
    <col min="2320" max="2559" width="9" style="25"/>
    <col min="2560" max="2570" width="7.5" style="25" customWidth="1"/>
    <col min="2571" max="2571" width="9.69921875" style="25" customWidth="1"/>
    <col min="2572" max="2572" width="3.5" style="25" bestFit="1" customWidth="1"/>
    <col min="2573" max="2574" width="5.59765625" style="25" customWidth="1"/>
    <col min="2575" max="2575" width="5.19921875" style="25" customWidth="1"/>
    <col min="2576" max="2815" width="9" style="25"/>
    <col min="2816" max="2826" width="7.5" style="25" customWidth="1"/>
    <col min="2827" max="2827" width="9.69921875" style="25" customWidth="1"/>
    <col min="2828" max="2828" width="3.5" style="25" bestFit="1" customWidth="1"/>
    <col min="2829" max="2830" width="5.59765625" style="25" customWidth="1"/>
    <col min="2831" max="2831" width="5.19921875" style="25" customWidth="1"/>
    <col min="2832" max="3071" width="9" style="25"/>
    <col min="3072" max="3082" width="7.5" style="25" customWidth="1"/>
    <col min="3083" max="3083" width="9.69921875" style="25" customWidth="1"/>
    <col min="3084" max="3084" width="3.5" style="25" bestFit="1" customWidth="1"/>
    <col min="3085" max="3086" width="5.59765625" style="25" customWidth="1"/>
    <col min="3087" max="3087" width="5.19921875" style="25" customWidth="1"/>
    <col min="3088" max="3327" width="9" style="25"/>
    <col min="3328" max="3338" width="7.5" style="25" customWidth="1"/>
    <col min="3339" max="3339" width="9.69921875" style="25" customWidth="1"/>
    <col min="3340" max="3340" width="3.5" style="25" bestFit="1" customWidth="1"/>
    <col min="3341" max="3342" width="5.59765625" style="25" customWidth="1"/>
    <col min="3343" max="3343" width="5.19921875" style="25" customWidth="1"/>
    <col min="3344" max="3583" width="9" style="25"/>
    <col min="3584" max="3594" width="7.5" style="25" customWidth="1"/>
    <col min="3595" max="3595" width="9.69921875" style="25" customWidth="1"/>
    <col min="3596" max="3596" width="3.5" style="25" bestFit="1" customWidth="1"/>
    <col min="3597" max="3598" width="5.59765625" style="25" customWidth="1"/>
    <col min="3599" max="3599" width="5.19921875" style="25" customWidth="1"/>
    <col min="3600" max="3839" width="9" style="25"/>
    <col min="3840" max="3850" width="7.5" style="25" customWidth="1"/>
    <col min="3851" max="3851" width="9.69921875" style="25" customWidth="1"/>
    <col min="3852" max="3852" width="3.5" style="25" bestFit="1" customWidth="1"/>
    <col min="3853" max="3854" width="5.59765625" style="25" customWidth="1"/>
    <col min="3855" max="3855" width="5.19921875" style="25" customWidth="1"/>
    <col min="3856" max="4095" width="9" style="25"/>
    <col min="4096" max="4106" width="7.5" style="25" customWidth="1"/>
    <col min="4107" max="4107" width="9.69921875" style="25" customWidth="1"/>
    <col min="4108" max="4108" width="3.5" style="25" bestFit="1" customWidth="1"/>
    <col min="4109" max="4110" width="5.59765625" style="25" customWidth="1"/>
    <col min="4111" max="4111" width="5.19921875" style="25" customWidth="1"/>
    <col min="4112" max="4351" width="9" style="25"/>
    <col min="4352" max="4362" width="7.5" style="25" customWidth="1"/>
    <col min="4363" max="4363" width="9.69921875" style="25" customWidth="1"/>
    <col min="4364" max="4364" width="3.5" style="25" bestFit="1" customWidth="1"/>
    <col min="4365" max="4366" width="5.59765625" style="25" customWidth="1"/>
    <col min="4367" max="4367" width="5.19921875" style="25" customWidth="1"/>
    <col min="4368" max="4607" width="9" style="25"/>
    <col min="4608" max="4618" width="7.5" style="25" customWidth="1"/>
    <col min="4619" max="4619" width="9.69921875" style="25" customWidth="1"/>
    <col min="4620" max="4620" width="3.5" style="25" bestFit="1" customWidth="1"/>
    <col min="4621" max="4622" width="5.59765625" style="25" customWidth="1"/>
    <col min="4623" max="4623" width="5.19921875" style="25" customWidth="1"/>
    <col min="4624" max="4863" width="9" style="25"/>
    <col min="4864" max="4874" width="7.5" style="25" customWidth="1"/>
    <col min="4875" max="4875" width="9.69921875" style="25" customWidth="1"/>
    <col min="4876" max="4876" width="3.5" style="25" bestFit="1" customWidth="1"/>
    <col min="4877" max="4878" width="5.59765625" style="25" customWidth="1"/>
    <col min="4879" max="4879" width="5.19921875" style="25" customWidth="1"/>
    <col min="4880" max="5119" width="9" style="25"/>
    <col min="5120" max="5130" width="7.5" style="25" customWidth="1"/>
    <col min="5131" max="5131" width="9.69921875" style="25" customWidth="1"/>
    <col min="5132" max="5132" width="3.5" style="25" bestFit="1" customWidth="1"/>
    <col min="5133" max="5134" width="5.59765625" style="25" customWidth="1"/>
    <col min="5135" max="5135" width="5.19921875" style="25" customWidth="1"/>
    <col min="5136" max="5375" width="9" style="25"/>
    <col min="5376" max="5386" width="7.5" style="25" customWidth="1"/>
    <col min="5387" max="5387" width="9.69921875" style="25" customWidth="1"/>
    <col min="5388" max="5388" width="3.5" style="25" bestFit="1" customWidth="1"/>
    <col min="5389" max="5390" width="5.59765625" style="25" customWidth="1"/>
    <col min="5391" max="5391" width="5.19921875" style="25" customWidth="1"/>
    <col min="5392" max="5631" width="9" style="25"/>
    <col min="5632" max="5642" width="7.5" style="25" customWidth="1"/>
    <col min="5643" max="5643" width="9.69921875" style="25" customWidth="1"/>
    <col min="5644" max="5644" width="3.5" style="25" bestFit="1" customWidth="1"/>
    <col min="5645" max="5646" width="5.59765625" style="25" customWidth="1"/>
    <col min="5647" max="5647" width="5.19921875" style="25" customWidth="1"/>
    <col min="5648" max="5887" width="9" style="25"/>
    <col min="5888" max="5898" width="7.5" style="25" customWidth="1"/>
    <col min="5899" max="5899" width="9.69921875" style="25" customWidth="1"/>
    <col min="5900" max="5900" width="3.5" style="25" bestFit="1" customWidth="1"/>
    <col min="5901" max="5902" width="5.59765625" style="25" customWidth="1"/>
    <col min="5903" max="5903" width="5.19921875" style="25" customWidth="1"/>
    <col min="5904" max="6143" width="9" style="25"/>
    <col min="6144" max="6154" width="7.5" style="25" customWidth="1"/>
    <col min="6155" max="6155" width="9.69921875" style="25" customWidth="1"/>
    <col min="6156" max="6156" width="3.5" style="25" bestFit="1" customWidth="1"/>
    <col min="6157" max="6158" width="5.59765625" style="25" customWidth="1"/>
    <col min="6159" max="6159" width="5.19921875" style="25" customWidth="1"/>
    <col min="6160" max="6399" width="9" style="25"/>
    <col min="6400" max="6410" width="7.5" style="25" customWidth="1"/>
    <col min="6411" max="6411" width="9.69921875" style="25" customWidth="1"/>
    <col min="6412" max="6412" width="3.5" style="25" bestFit="1" customWidth="1"/>
    <col min="6413" max="6414" width="5.59765625" style="25" customWidth="1"/>
    <col min="6415" max="6415" width="5.19921875" style="25" customWidth="1"/>
    <col min="6416" max="6655" width="9" style="25"/>
    <col min="6656" max="6666" width="7.5" style="25" customWidth="1"/>
    <col min="6667" max="6667" width="9.69921875" style="25" customWidth="1"/>
    <col min="6668" max="6668" width="3.5" style="25" bestFit="1" customWidth="1"/>
    <col min="6669" max="6670" width="5.59765625" style="25" customWidth="1"/>
    <col min="6671" max="6671" width="5.19921875" style="25" customWidth="1"/>
    <col min="6672" max="6911" width="9" style="25"/>
    <col min="6912" max="6922" width="7.5" style="25" customWidth="1"/>
    <col min="6923" max="6923" width="9.69921875" style="25" customWidth="1"/>
    <col min="6924" max="6924" width="3.5" style="25" bestFit="1" customWidth="1"/>
    <col min="6925" max="6926" width="5.59765625" style="25" customWidth="1"/>
    <col min="6927" max="6927" width="5.19921875" style="25" customWidth="1"/>
    <col min="6928" max="7167" width="9" style="25"/>
    <col min="7168" max="7178" width="7.5" style="25" customWidth="1"/>
    <col min="7179" max="7179" width="9.69921875" style="25" customWidth="1"/>
    <col min="7180" max="7180" width="3.5" style="25" bestFit="1" customWidth="1"/>
    <col min="7181" max="7182" width="5.59765625" style="25" customWidth="1"/>
    <col min="7183" max="7183" width="5.19921875" style="25" customWidth="1"/>
    <col min="7184" max="7423" width="9" style="25"/>
    <col min="7424" max="7434" width="7.5" style="25" customWidth="1"/>
    <col min="7435" max="7435" width="9.69921875" style="25" customWidth="1"/>
    <col min="7436" max="7436" width="3.5" style="25" bestFit="1" customWidth="1"/>
    <col min="7437" max="7438" width="5.59765625" style="25" customWidth="1"/>
    <col min="7439" max="7439" width="5.19921875" style="25" customWidth="1"/>
    <col min="7440" max="7679" width="9" style="25"/>
    <col min="7680" max="7690" width="7.5" style="25" customWidth="1"/>
    <col min="7691" max="7691" width="9.69921875" style="25" customWidth="1"/>
    <col min="7692" max="7692" width="3.5" style="25" bestFit="1" customWidth="1"/>
    <col min="7693" max="7694" width="5.59765625" style="25" customWidth="1"/>
    <col min="7695" max="7695" width="5.19921875" style="25" customWidth="1"/>
    <col min="7696" max="7935" width="9" style="25"/>
    <col min="7936" max="7946" width="7.5" style="25" customWidth="1"/>
    <col min="7947" max="7947" width="9.69921875" style="25" customWidth="1"/>
    <col min="7948" max="7948" width="3.5" style="25" bestFit="1" customWidth="1"/>
    <col min="7949" max="7950" width="5.59765625" style="25" customWidth="1"/>
    <col min="7951" max="7951" width="5.19921875" style="25" customWidth="1"/>
    <col min="7952" max="8191" width="9" style="25"/>
    <col min="8192" max="8202" width="7.5" style="25" customWidth="1"/>
    <col min="8203" max="8203" width="9.69921875" style="25" customWidth="1"/>
    <col min="8204" max="8204" width="3.5" style="25" bestFit="1" customWidth="1"/>
    <col min="8205" max="8206" width="5.59765625" style="25" customWidth="1"/>
    <col min="8207" max="8207" width="5.19921875" style="25" customWidth="1"/>
    <col min="8208" max="8447" width="9" style="25"/>
    <col min="8448" max="8458" width="7.5" style="25" customWidth="1"/>
    <col min="8459" max="8459" width="9.69921875" style="25" customWidth="1"/>
    <col min="8460" max="8460" width="3.5" style="25" bestFit="1" customWidth="1"/>
    <col min="8461" max="8462" width="5.59765625" style="25" customWidth="1"/>
    <col min="8463" max="8463" width="5.19921875" style="25" customWidth="1"/>
    <col min="8464" max="8703" width="9" style="25"/>
    <col min="8704" max="8714" width="7.5" style="25" customWidth="1"/>
    <col min="8715" max="8715" width="9.69921875" style="25" customWidth="1"/>
    <col min="8716" max="8716" width="3.5" style="25" bestFit="1" customWidth="1"/>
    <col min="8717" max="8718" width="5.59765625" style="25" customWidth="1"/>
    <col min="8719" max="8719" width="5.19921875" style="25" customWidth="1"/>
    <col min="8720" max="8959" width="9" style="25"/>
    <col min="8960" max="8970" width="7.5" style="25" customWidth="1"/>
    <col min="8971" max="8971" width="9.69921875" style="25" customWidth="1"/>
    <col min="8972" max="8972" width="3.5" style="25" bestFit="1" customWidth="1"/>
    <col min="8973" max="8974" width="5.59765625" style="25" customWidth="1"/>
    <col min="8975" max="8975" width="5.19921875" style="25" customWidth="1"/>
    <col min="8976" max="9215" width="9" style="25"/>
    <col min="9216" max="9226" width="7.5" style="25" customWidth="1"/>
    <col min="9227" max="9227" width="9.69921875" style="25" customWidth="1"/>
    <col min="9228" max="9228" width="3.5" style="25" bestFit="1" customWidth="1"/>
    <col min="9229" max="9230" width="5.59765625" style="25" customWidth="1"/>
    <col min="9231" max="9231" width="5.19921875" style="25" customWidth="1"/>
    <col min="9232" max="9471" width="9" style="25"/>
    <col min="9472" max="9482" width="7.5" style="25" customWidth="1"/>
    <col min="9483" max="9483" width="9.69921875" style="25" customWidth="1"/>
    <col min="9484" max="9484" width="3.5" style="25" bestFit="1" customWidth="1"/>
    <col min="9485" max="9486" width="5.59765625" style="25" customWidth="1"/>
    <col min="9487" max="9487" width="5.19921875" style="25" customWidth="1"/>
    <col min="9488" max="9727" width="9" style="25"/>
    <col min="9728" max="9738" width="7.5" style="25" customWidth="1"/>
    <col min="9739" max="9739" width="9.69921875" style="25" customWidth="1"/>
    <col min="9740" max="9740" width="3.5" style="25" bestFit="1" customWidth="1"/>
    <col min="9741" max="9742" width="5.59765625" style="25" customWidth="1"/>
    <col min="9743" max="9743" width="5.19921875" style="25" customWidth="1"/>
    <col min="9744" max="9983" width="9" style="25"/>
    <col min="9984" max="9994" width="7.5" style="25" customWidth="1"/>
    <col min="9995" max="9995" width="9.69921875" style="25" customWidth="1"/>
    <col min="9996" max="9996" width="3.5" style="25" bestFit="1" customWidth="1"/>
    <col min="9997" max="9998" width="5.59765625" style="25" customWidth="1"/>
    <col min="9999" max="9999" width="5.19921875" style="25" customWidth="1"/>
    <col min="10000" max="10239" width="9" style="25"/>
    <col min="10240" max="10250" width="7.5" style="25" customWidth="1"/>
    <col min="10251" max="10251" width="9.69921875" style="25" customWidth="1"/>
    <col min="10252" max="10252" width="3.5" style="25" bestFit="1" customWidth="1"/>
    <col min="10253" max="10254" width="5.59765625" style="25" customWidth="1"/>
    <col min="10255" max="10255" width="5.19921875" style="25" customWidth="1"/>
    <col min="10256" max="10495" width="9" style="25"/>
    <col min="10496" max="10506" width="7.5" style="25" customWidth="1"/>
    <col min="10507" max="10507" width="9.69921875" style="25" customWidth="1"/>
    <col min="10508" max="10508" width="3.5" style="25" bestFit="1" customWidth="1"/>
    <col min="10509" max="10510" width="5.59765625" style="25" customWidth="1"/>
    <col min="10511" max="10511" width="5.19921875" style="25" customWidth="1"/>
    <col min="10512" max="10751" width="9" style="25"/>
    <col min="10752" max="10762" width="7.5" style="25" customWidth="1"/>
    <col min="10763" max="10763" width="9.69921875" style="25" customWidth="1"/>
    <col min="10764" max="10764" width="3.5" style="25" bestFit="1" customWidth="1"/>
    <col min="10765" max="10766" width="5.59765625" style="25" customWidth="1"/>
    <col min="10767" max="10767" width="5.19921875" style="25" customWidth="1"/>
    <col min="10768" max="11007" width="9" style="25"/>
    <col min="11008" max="11018" width="7.5" style="25" customWidth="1"/>
    <col min="11019" max="11019" width="9.69921875" style="25" customWidth="1"/>
    <col min="11020" max="11020" width="3.5" style="25" bestFit="1" customWidth="1"/>
    <col min="11021" max="11022" width="5.59765625" style="25" customWidth="1"/>
    <col min="11023" max="11023" width="5.19921875" style="25" customWidth="1"/>
    <col min="11024" max="11263" width="9" style="25"/>
    <col min="11264" max="11274" width="7.5" style="25" customWidth="1"/>
    <col min="11275" max="11275" width="9.69921875" style="25" customWidth="1"/>
    <col min="11276" max="11276" width="3.5" style="25" bestFit="1" customWidth="1"/>
    <col min="11277" max="11278" width="5.59765625" style="25" customWidth="1"/>
    <col min="11279" max="11279" width="5.19921875" style="25" customWidth="1"/>
    <col min="11280" max="11519" width="9" style="25"/>
    <col min="11520" max="11530" width="7.5" style="25" customWidth="1"/>
    <col min="11531" max="11531" width="9.69921875" style="25" customWidth="1"/>
    <col min="11532" max="11532" width="3.5" style="25" bestFit="1" customWidth="1"/>
    <col min="11533" max="11534" width="5.59765625" style="25" customWidth="1"/>
    <col min="11535" max="11535" width="5.19921875" style="25" customWidth="1"/>
    <col min="11536" max="11775" width="9" style="25"/>
    <col min="11776" max="11786" width="7.5" style="25" customWidth="1"/>
    <col min="11787" max="11787" width="9.69921875" style="25" customWidth="1"/>
    <col min="11788" max="11788" width="3.5" style="25" bestFit="1" customWidth="1"/>
    <col min="11789" max="11790" width="5.59765625" style="25" customWidth="1"/>
    <col min="11791" max="11791" width="5.19921875" style="25" customWidth="1"/>
    <col min="11792" max="12031" width="9" style="25"/>
    <col min="12032" max="12042" width="7.5" style="25" customWidth="1"/>
    <col min="12043" max="12043" width="9.69921875" style="25" customWidth="1"/>
    <col min="12044" max="12044" width="3.5" style="25" bestFit="1" customWidth="1"/>
    <col min="12045" max="12046" width="5.59765625" style="25" customWidth="1"/>
    <col min="12047" max="12047" width="5.19921875" style="25" customWidth="1"/>
    <col min="12048" max="12287" width="9" style="25"/>
    <col min="12288" max="12298" width="7.5" style="25" customWidth="1"/>
    <col min="12299" max="12299" width="9.69921875" style="25" customWidth="1"/>
    <col min="12300" max="12300" width="3.5" style="25" bestFit="1" customWidth="1"/>
    <col min="12301" max="12302" width="5.59765625" style="25" customWidth="1"/>
    <col min="12303" max="12303" width="5.19921875" style="25" customWidth="1"/>
    <col min="12304" max="12543" width="9" style="25"/>
    <col min="12544" max="12554" width="7.5" style="25" customWidth="1"/>
    <col min="12555" max="12555" width="9.69921875" style="25" customWidth="1"/>
    <col min="12556" max="12556" width="3.5" style="25" bestFit="1" customWidth="1"/>
    <col min="12557" max="12558" width="5.59765625" style="25" customWidth="1"/>
    <col min="12559" max="12559" width="5.19921875" style="25" customWidth="1"/>
    <col min="12560" max="12799" width="9" style="25"/>
    <col min="12800" max="12810" width="7.5" style="25" customWidth="1"/>
    <col min="12811" max="12811" width="9.69921875" style="25" customWidth="1"/>
    <col min="12812" max="12812" width="3.5" style="25" bestFit="1" customWidth="1"/>
    <col min="12813" max="12814" width="5.59765625" style="25" customWidth="1"/>
    <col min="12815" max="12815" width="5.19921875" style="25" customWidth="1"/>
    <col min="12816" max="13055" width="9" style="25"/>
    <col min="13056" max="13066" width="7.5" style="25" customWidth="1"/>
    <col min="13067" max="13067" width="9.69921875" style="25" customWidth="1"/>
    <col min="13068" max="13068" width="3.5" style="25" bestFit="1" customWidth="1"/>
    <col min="13069" max="13070" width="5.59765625" style="25" customWidth="1"/>
    <col min="13071" max="13071" width="5.19921875" style="25" customWidth="1"/>
    <col min="13072" max="13311" width="9" style="25"/>
    <col min="13312" max="13322" width="7.5" style="25" customWidth="1"/>
    <col min="13323" max="13323" width="9.69921875" style="25" customWidth="1"/>
    <col min="13324" max="13324" width="3.5" style="25" bestFit="1" customWidth="1"/>
    <col min="13325" max="13326" width="5.59765625" style="25" customWidth="1"/>
    <col min="13327" max="13327" width="5.19921875" style="25" customWidth="1"/>
    <col min="13328" max="13567" width="9" style="25"/>
    <col min="13568" max="13578" width="7.5" style="25" customWidth="1"/>
    <col min="13579" max="13579" width="9.69921875" style="25" customWidth="1"/>
    <col min="13580" max="13580" width="3.5" style="25" bestFit="1" customWidth="1"/>
    <col min="13581" max="13582" width="5.59765625" style="25" customWidth="1"/>
    <col min="13583" max="13583" width="5.19921875" style="25" customWidth="1"/>
    <col min="13584" max="13823" width="9" style="25"/>
    <col min="13824" max="13834" width="7.5" style="25" customWidth="1"/>
    <col min="13835" max="13835" width="9.69921875" style="25" customWidth="1"/>
    <col min="13836" max="13836" width="3.5" style="25" bestFit="1" customWidth="1"/>
    <col min="13837" max="13838" width="5.59765625" style="25" customWidth="1"/>
    <col min="13839" max="13839" width="5.19921875" style="25" customWidth="1"/>
    <col min="13840" max="14079" width="9" style="25"/>
    <col min="14080" max="14090" width="7.5" style="25" customWidth="1"/>
    <col min="14091" max="14091" width="9.69921875" style="25" customWidth="1"/>
    <col min="14092" max="14092" width="3.5" style="25" bestFit="1" customWidth="1"/>
    <col min="14093" max="14094" width="5.59765625" style="25" customWidth="1"/>
    <col min="14095" max="14095" width="5.19921875" style="25" customWidth="1"/>
    <col min="14096" max="14335" width="9" style="25"/>
    <col min="14336" max="14346" width="7.5" style="25" customWidth="1"/>
    <col min="14347" max="14347" width="9.69921875" style="25" customWidth="1"/>
    <col min="14348" max="14348" width="3.5" style="25" bestFit="1" customWidth="1"/>
    <col min="14349" max="14350" width="5.59765625" style="25" customWidth="1"/>
    <col min="14351" max="14351" width="5.19921875" style="25" customWidth="1"/>
    <col min="14352" max="14591" width="9" style="25"/>
    <col min="14592" max="14602" width="7.5" style="25" customWidth="1"/>
    <col min="14603" max="14603" width="9.69921875" style="25" customWidth="1"/>
    <col min="14604" max="14604" width="3.5" style="25" bestFit="1" customWidth="1"/>
    <col min="14605" max="14606" width="5.59765625" style="25" customWidth="1"/>
    <col min="14607" max="14607" width="5.19921875" style="25" customWidth="1"/>
    <col min="14608" max="14847" width="9" style="25"/>
    <col min="14848" max="14858" width="7.5" style="25" customWidth="1"/>
    <col min="14859" max="14859" width="9.69921875" style="25" customWidth="1"/>
    <col min="14860" max="14860" width="3.5" style="25" bestFit="1" customWidth="1"/>
    <col min="14861" max="14862" width="5.59765625" style="25" customWidth="1"/>
    <col min="14863" max="14863" width="5.19921875" style="25" customWidth="1"/>
    <col min="14864" max="15103" width="9" style="25"/>
    <col min="15104" max="15114" width="7.5" style="25" customWidth="1"/>
    <col min="15115" max="15115" width="9.69921875" style="25" customWidth="1"/>
    <col min="15116" max="15116" width="3.5" style="25" bestFit="1" customWidth="1"/>
    <col min="15117" max="15118" width="5.59765625" style="25" customWidth="1"/>
    <col min="15119" max="15119" width="5.19921875" style="25" customWidth="1"/>
    <col min="15120" max="15359" width="9" style="25"/>
    <col min="15360" max="15370" width="7.5" style="25" customWidth="1"/>
    <col min="15371" max="15371" width="9.69921875" style="25" customWidth="1"/>
    <col min="15372" max="15372" width="3.5" style="25" bestFit="1" customWidth="1"/>
    <col min="15373" max="15374" width="5.59765625" style="25" customWidth="1"/>
    <col min="15375" max="15375" width="5.19921875" style="25" customWidth="1"/>
    <col min="15376" max="15615" width="9" style="25"/>
    <col min="15616" max="15626" width="7.5" style="25" customWidth="1"/>
    <col min="15627" max="15627" width="9.69921875" style="25" customWidth="1"/>
    <col min="15628" max="15628" width="3.5" style="25" bestFit="1" customWidth="1"/>
    <col min="15629" max="15630" width="5.59765625" style="25" customWidth="1"/>
    <col min="15631" max="15631" width="5.19921875" style="25" customWidth="1"/>
    <col min="15632" max="15871" width="9" style="25"/>
    <col min="15872" max="15882" width="7.5" style="25" customWidth="1"/>
    <col min="15883" max="15883" width="9.69921875" style="25" customWidth="1"/>
    <col min="15884" max="15884" width="3.5" style="25" bestFit="1" customWidth="1"/>
    <col min="15885" max="15886" width="5.59765625" style="25" customWidth="1"/>
    <col min="15887" max="15887" width="5.19921875" style="25" customWidth="1"/>
    <col min="15888" max="16127" width="9" style="25"/>
    <col min="16128" max="16138" width="7.5" style="25" customWidth="1"/>
    <col min="16139" max="16139" width="9.69921875" style="25" customWidth="1"/>
    <col min="16140" max="16140" width="3.5" style="25" bestFit="1" customWidth="1"/>
    <col min="16141" max="16142" width="5.59765625" style="25" customWidth="1"/>
    <col min="16143" max="16143" width="5.19921875" style="25" customWidth="1"/>
    <col min="16144" max="16384" width="9" style="25"/>
  </cols>
  <sheetData>
    <row r="1" spans="1:15" s="21" customFormat="1" ht="14.4">
      <c r="A1" s="7" t="s">
        <v>22</v>
      </c>
      <c r="G1" s="22"/>
      <c r="H1" s="22"/>
      <c r="I1" s="22"/>
      <c r="J1" s="22"/>
      <c r="K1" s="22"/>
      <c r="L1" s="22"/>
      <c r="M1" s="22"/>
      <c r="N1" s="22"/>
      <c r="O1" s="22"/>
    </row>
    <row r="2" spans="1:15" s="21" customFormat="1">
      <c r="A2" s="23"/>
      <c r="G2" s="22"/>
      <c r="H2" s="22"/>
      <c r="I2" s="22"/>
      <c r="J2" s="22"/>
      <c r="K2" s="22"/>
      <c r="L2" s="22"/>
      <c r="M2" s="22"/>
      <c r="N2" s="22"/>
      <c r="O2" s="22"/>
    </row>
    <row r="3" spans="1:15">
      <c r="A3" s="24" t="s">
        <v>23</v>
      </c>
      <c r="B3" s="25"/>
      <c r="C3" s="25"/>
      <c r="D3" s="25"/>
      <c r="E3" s="25"/>
      <c r="F3" s="25"/>
    </row>
    <row r="4" spans="1:15">
      <c r="A4" s="170" t="s">
        <v>24</v>
      </c>
      <c r="B4" s="170"/>
      <c r="C4" s="170"/>
      <c r="D4" s="170"/>
      <c r="E4" s="170" t="s">
        <v>209</v>
      </c>
      <c r="F4" s="170"/>
      <c r="G4" s="170"/>
      <c r="H4" s="170"/>
      <c r="I4" s="170"/>
      <c r="J4" s="170" t="s">
        <v>25</v>
      </c>
      <c r="K4" s="170"/>
      <c r="L4" s="170"/>
    </row>
    <row r="5" spans="1:15">
      <c r="A5" s="170"/>
      <c r="B5" s="170"/>
      <c r="C5" s="170"/>
      <c r="D5" s="170"/>
      <c r="E5" s="139" t="s">
        <v>26</v>
      </c>
      <c r="F5" s="139" t="s">
        <v>208</v>
      </c>
      <c r="G5" s="139" t="s">
        <v>27</v>
      </c>
      <c r="H5" s="139" t="s">
        <v>28</v>
      </c>
      <c r="I5" s="139" t="s">
        <v>29</v>
      </c>
      <c r="J5" s="139" t="s">
        <v>30</v>
      </c>
      <c r="K5" s="139" t="s">
        <v>31</v>
      </c>
      <c r="L5" s="26" t="s">
        <v>32</v>
      </c>
    </row>
    <row r="6" spans="1:15">
      <c r="A6" s="27" t="s">
        <v>85</v>
      </c>
      <c r="B6" s="171" t="str">
        <f>VLOOKUP($A6,ChkList!$A$5:$B$44,2,FALSE)</f>
        <v>계정 관리</v>
      </c>
      <c r="C6" s="172"/>
      <c r="D6" s="173"/>
      <c r="E6" s="27">
        <f ca="1">SUMIF('항목별 통계'!$B:$B,$A6&amp;"*",'항목별 통계'!$F:$F)</f>
        <v>90</v>
      </c>
      <c r="F6" s="27">
        <f ca="1">E6-I6</f>
        <v>90</v>
      </c>
      <c r="G6" s="27">
        <f ca="1">SUMIF('항목별 통계'!$B:$B,$A6&amp;"*",'항목별 통계'!$G:$G)</f>
        <v>32</v>
      </c>
      <c r="H6" s="28">
        <f ca="1">SUMIF('항목별 통계'!$B:$B,$A6&amp;"*",'항목별 통계'!$H:$H)</f>
        <v>58</v>
      </c>
      <c r="I6" s="28">
        <f ca="1">SUMIF('항목별 통계'!$B:$B,$A6&amp;"*",'항목별 통계'!$I:$I)</f>
        <v>0</v>
      </c>
      <c r="J6" s="28">
        <f ca="1">SUMIF('항목별 통계'!$B:$B,$A6&amp;"*",'항목별 통계'!$J:$J)</f>
        <v>252</v>
      </c>
      <c r="K6" s="28">
        <f ca="1">SUMIF('항목별 통계'!$B:$B,$A6&amp;"*",'항목별 통계'!$K:$K)</f>
        <v>93</v>
      </c>
      <c r="L6" s="29">
        <f ca="1">IFERROR(K6/J6,0)</f>
        <v>0.36904761904761907</v>
      </c>
      <c r="M6" s="30"/>
    </row>
    <row r="7" spans="1:15">
      <c r="A7" s="27" t="s">
        <v>86</v>
      </c>
      <c r="B7" s="171" t="str">
        <f>VLOOKUP($A7,ChkList!$A$5:$B$44,2,FALSE)</f>
        <v>파일 및 디렉토리 관리</v>
      </c>
      <c r="C7" s="172"/>
      <c r="D7" s="173"/>
      <c r="E7" s="27">
        <f ca="1">SUMIF('항목별 통계'!$B:$B,$A7&amp;"*",'항목별 통계'!$F:$F)</f>
        <v>252</v>
      </c>
      <c r="F7" s="27">
        <f ca="1">E7-I7</f>
        <v>252</v>
      </c>
      <c r="G7" s="27">
        <f ca="1">SUMIF('항목별 통계'!$B:$B,$A7&amp;"*",'항목별 통계'!$G:$G)</f>
        <v>219</v>
      </c>
      <c r="H7" s="28">
        <f ca="1">SUMIF('항목별 통계'!$B:$B,$A7&amp;"*",'항목별 통계'!$H:$H)</f>
        <v>33</v>
      </c>
      <c r="I7" s="28">
        <f ca="1">SUMIF('항목별 통계'!$B:$B,$A7&amp;"*",'항목별 통계'!$I:$I)</f>
        <v>0</v>
      </c>
      <c r="J7" s="28">
        <f ca="1">SUMIF('항목별 통계'!$B:$B,$A7&amp;"*",'항목별 통계'!$J:$J)</f>
        <v>756</v>
      </c>
      <c r="K7" s="28">
        <f ca="1">SUMIF('항목별 통계'!$B:$B,$A7&amp;"*",'항목별 통계'!$K:$K)</f>
        <v>657</v>
      </c>
      <c r="L7" s="29">
        <f ca="1">IFERROR(K7/J7,0)</f>
        <v>0.86904761904761907</v>
      </c>
      <c r="M7" s="30"/>
    </row>
    <row r="8" spans="1:15">
      <c r="A8" s="27" t="s">
        <v>87</v>
      </c>
      <c r="B8" s="171" t="str">
        <f>VLOOKUP($A8,ChkList!$A$5:$B$44,2,FALSE)</f>
        <v>서비스 관리</v>
      </c>
      <c r="C8" s="172"/>
      <c r="D8" s="173"/>
      <c r="E8" s="27">
        <f ca="1">SUMIF('항목별 통계'!$B:$B,$A8&amp;"*",'항목별 통계'!$F:$F)</f>
        <v>270</v>
      </c>
      <c r="F8" s="27">
        <f ca="1">E8-I8</f>
        <v>270</v>
      </c>
      <c r="G8" s="27">
        <f ca="1">SUMIF('항목별 통계'!$B:$B,$A8&amp;"*",'항목별 통계'!$G:$G)</f>
        <v>269</v>
      </c>
      <c r="H8" s="28">
        <f ca="1">SUMIF('항목별 통계'!$B:$B,$A8&amp;"*",'항목별 통계'!$H:$H)</f>
        <v>1</v>
      </c>
      <c r="I8" s="28">
        <f ca="1">SUMIF('항목별 통계'!$B:$B,$A8&amp;"*",'항목별 통계'!$I:$I)</f>
        <v>0</v>
      </c>
      <c r="J8" s="28">
        <f ca="1">SUMIF('항목별 통계'!$B:$B,$A8&amp;"*",'항목별 통계'!$J:$J)</f>
        <v>810</v>
      </c>
      <c r="K8" s="28">
        <f ca="1">SUMIF('항목별 통계'!$B:$B,$A8&amp;"*",'항목별 통계'!$K:$K)</f>
        <v>807</v>
      </c>
      <c r="L8" s="29">
        <f ca="1">IFERROR(K8/J8,0)</f>
        <v>0.99629629629629635</v>
      </c>
      <c r="M8" s="31"/>
    </row>
    <row r="9" spans="1:15">
      <c r="A9" s="27" t="s">
        <v>88</v>
      </c>
      <c r="B9" s="171" t="str">
        <f>VLOOKUP($A9,ChkList!$A$5:$B$44,2,FALSE)</f>
        <v>패치 및 로그관리</v>
      </c>
      <c r="C9" s="172"/>
      <c r="D9" s="173"/>
      <c r="E9" s="27">
        <f ca="1">SUMIF('항목별 통계'!$B:$B,$A9&amp;"*",'항목별 통계'!$F:$F)</f>
        <v>36</v>
      </c>
      <c r="F9" s="27">
        <f ca="1">E9-I9</f>
        <v>36</v>
      </c>
      <c r="G9" s="27">
        <f ca="1">SUMIF('항목별 통계'!$B:$B,$A9&amp;"*",'항목별 통계'!$G:$G)</f>
        <v>0</v>
      </c>
      <c r="H9" s="28">
        <f ca="1">SUMIF('항목별 통계'!$B:$B,$A9&amp;"*",'항목별 통계'!$H:$H)</f>
        <v>36</v>
      </c>
      <c r="I9" s="28">
        <f ca="1">SUMIF('항목별 통계'!$B:$B,$A9&amp;"*",'항목별 통계'!$I:$I)</f>
        <v>0</v>
      </c>
      <c r="J9" s="28">
        <f ca="1">SUMIF('항목별 통계'!$B:$B,$A9&amp;"*",'항목별 통계'!$J:$J)</f>
        <v>108</v>
      </c>
      <c r="K9" s="28">
        <f ca="1">SUMIF('항목별 통계'!$B:$B,$A9&amp;"*",'항목별 통계'!$K:$K)</f>
        <v>0</v>
      </c>
      <c r="L9" s="29">
        <f ca="1">IFERROR(K9/J9,0)</f>
        <v>0</v>
      </c>
      <c r="M9" s="31"/>
    </row>
    <row r="10" spans="1:15">
      <c r="A10" s="32"/>
      <c r="B10" s="174" t="s">
        <v>33</v>
      </c>
      <c r="C10" s="174"/>
      <c r="D10" s="175"/>
      <c r="E10" s="33">
        <f ca="1">SUM(E6:E9)</f>
        <v>648</v>
      </c>
      <c r="F10" s="33">
        <f t="shared" ref="F10:K10" ca="1" si="0">SUM(F6:F9)</f>
        <v>648</v>
      </c>
      <c r="G10" s="33">
        <f t="shared" ca="1" si="0"/>
        <v>520</v>
      </c>
      <c r="H10" s="33">
        <f t="shared" ca="1" si="0"/>
        <v>128</v>
      </c>
      <c r="I10" s="33">
        <f t="shared" ca="1" si="0"/>
        <v>0</v>
      </c>
      <c r="J10" s="33">
        <f t="shared" ca="1" si="0"/>
        <v>1926</v>
      </c>
      <c r="K10" s="33">
        <f t="shared" ca="1" si="0"/>
        <v>1557</v>
      </c>
      <c r="L10" s="34">
        <f ca="1">IFERROR(K10/J10, 0)</f>
        <v>0.80841121495327106</v>
      </c>
      <c r="M10" s="31"/>
    </row>
    <row r="11" spans="1:15">
      <c r="A11" s="35"/>
      <c r="B11" s="35"/>
      <c r="C11" s="35"/>
      <c r="D11" s="35"/>
      <c r="E11" s="36"/>
      <c r="F11" s="36"/>
      <c r="G11" s="36"/>
      <c r="H11" s="36"/>
      <c r="I11" s="36"/>
      <c r="J11" s="36"/>
      <c r="K11" s="36"/>
      <c r="L11" s="37"/>
      <c r="M11" s="31"/>
    </row>
    <row r="12" spans="1:15">
      <c r="A12" s="35"/>
      <c r="B12" s="35"/>
      <c r="C12" s="35"/>
      <c r="D12" s="35"/>
      <c r="E12" s="36"/>
      <c r="F12" s="36"/>
      <c r="G12" s="36"/>
      <c r="H12" s="36"/>
      <c r="I12" s="36"/>
      <c r="J12" s="36"/>
      <c r="K12" s="36"/>
      <c r="L12" s="37"/>
      <c r="M12" s="31"/>
    </row>
    <row r="13" spans="1:15">
      <c r="A13" s="35"/>
      <c r="B13" s="35"/>
      <c r="C13" s="35"/>
      <c r="D13" s="35"/>
      <c r="E13" s="36"/>
      <c r="F13" s="36"/>
      <c r="G13" s="36"/>
      <c r="H13" s="36"/>
      <c r="I13" s="36"/>
      <c r="J13" s="36"/>
      <c r="K13" s="36"/>
      <c r="L13" s="37"/>
      <c r="M13" s="31"/>
    </row>
    <row r="14" spans="1:15">
      <c r="A14" s="35"/>
      <c r="B14" s="35"/>
      <c r="C14" s="35"/>
      <c r="D14" s="35"/>
      <c r="E14" s="36"/>
      <c r="F14" s="36"/>
      <c r="G14" s="36"/>
      <c r="H14" s="36"/>
      <c r="I14" s="36"/>
      <c r="J14" s="36"/>
      <c r="K14" s="36"/>
      <c r="L14" s="37"/>
      <c r="M14" s="31"/>
    </row>
    <row r="15" spans="1:15">
      <c r="A15" s="35"/>
      <c r="E15" s="38"/>
      <c r="F15" s="38"/>
      <c r="G15" s="38"/>
      <c r="H15" s="38"/>
      <c r="I15" s="38"/>
      <c r="J15" s="38"/>
      <c r="K15" s="36"/>
      <c r="L15" s="37"/>
      <c r="M15" s="31"/>
    </row>
    <row r="16" spans="1:15">
      <c r="A16" s="35"/>
      <c r="E16" s="38"/>
      <c r="F16" s="38"/>
      <c r="G16" s="38"/>
      <c r="H16" s="38"/>
      <c r="I16" s="38"/>
      <c r="J16" s="38"/>
      <c r="K16" s="36"/>
      <c r="L16" s="37"/>
      <c r="M16" s="31"/>
    </row>
    <row r="17" spans="1:13">
      <c r="A17" s="35"/>
      <c r="E17" s="38"/>
      <c r="F17" s="38"/>
      <c r="G17" s="38"/>
      <c r="H17" s="38"/>
      <c r="I17" s="38"/>
      <c r="J17" s="38"/>
      <c r="K17" s="36"/>
      <c r="L17" s="37"/>
      <c r="M17" s="31"/>
    </row>
    <row r="18" spans="1:13">
      <c r="A18" s="35"/>
      <c r="E18" s="38"/>
      <c r="F18" s="38"/>
      <c r="G18" s="38"/>
      <c r="H18" s="38"/>
      <c r="I18" s="38"/>
      <c r="J18" s="38"/>
      <c r="K18" s="36"/>
      <c r="L18" s="37"/>
      <c r="M18" s="31"/>
    </row>
    <row r="19" spans="1:13">
      <c r="A19" s="35"/>
      <c r="E19" s="38"/>
      <c r="F19" s="38"/>
      <c r="G19" s="38"/>
      <c r="H19" s="38"/>
      <c r="I19" s="38"/>
      <c r="J19" s="38"/>
      <c r="K19" s="36"/>
      <c r="L19" s="37"/>
      <c r="M19" s="31"/>
    </row>
    <row r="20" spans="1:13">
      <c r="A20" s="35"/>
      <c r="B20" s="35"/>
      <c r="C20" s="35"/>
      <c r="D20" s="35"/>
      <c r="E20" s="36"/>
      <c r="F20" s="36"/>
      <c r="G20" s="36"/>
      <c r="H20" s="36"/>
      <c r="I20" s="36"/>
      <c r="J20" s="36"/>
      <c r="K20" s="36"/>
      <c r="L20" s="37"/>
      <c r="M20" s="31"/>
    </row>
    <row r="21" spans="1:13">
      <c r="A21" s="35"/>
      <c r="B21" s="35"/>
      <c r="C21" s="35"/>
      <c r="D21" s="35"/>
      <c r="E21" s="36"/>
      <c r="F21" s="36"/>
      <c r="G21" s="36"/>
      <c r="H21" s="36"/>
      <c r="I21" s="36"/>
      <c r="J21" s="36"/>
      <c r="K21" s="36"/>
      <c r="L21" s="37"/>
      <c r="M21" s="31"/>
    </row>
    <row r="22" spans="1:13">
      <c r="A22" s="35"/>
      <c r="B22" s="35"/>
      <c r="C22" s="35"/>
      <c r="D22" s="35"/>
      <c r="E22" s="36"/>
      <c r="F22" s="36"/>
      <c r="G22" s="36"/>
      <c r="H22" s="36"/>
      <c r="I22" s="36"/>
      <c r="J22" s="36"/>
      <c r="K22" s="36"/>
      <c r="L22" s="37"/>
      <c r="M22" s="31"/>
    </row>
    <row r="23" spans="1:13">
      <c r="A23" s="35"/>
      <c r="B23" s="35"/>
      <c r="C23" s="35"/>
      <c r="D23" s="35"/>
      <c r="E23" s="36"/>
      <c r="F23" s="36"/>
      <c r="G23" s="36"/>
      <c r="H23" s="36"/>
      <c r="I23" s="36"/>
      <c r="J23" s="36"/>
      <c r="K23" s="36"/>
      <c r="L23" s="37"/>
      <c r="M23" s="31"/>
    </row>
    <row r="24" spans="1:13">
      <c r="A24" s="35"/>
      <c r="B24" s="35"/>
      <c r="C24" s="35"/>
      <c r="D24" s="35"/>
      <c r="E24" s="36"/>
      <c r="F24" s="36"/>
      <c r="G24" s="36"/>
      <c r="H24" s="36"/>
      <c r="I24" s="36"/>
      <c r="J24" s="36"/>
      <c r="K24" s="36"/>
      <c r="L24" s="37"/>
      <c r="M24" s="31"/>
    </row>
    <row r="25" spans="1:13">
      <c r="A25" s="35"/>
      <c r="B25" s="35"/>
      <c r="C25" s="35"/>
      <c r="D25" s="35"/>
      <c r="E25" s="36"/>
      <c r="F25" s="36"/>
      <c r="G25" s="36"/>
      <c r="H25" s="36"/>
      <c r="I25" s="36"/>
      <c r="J25" s="36"/>
      <c r="K25" s="36"/>
      <c r="L25" s="37"/>
      <c r="M25" s="31"/>
    </row>
    <row r="26" spans="1:13">
      <c r="A26" s="35"/>
      <c r="B26" s="35"/>
      <c r="C26" s="35"/>
      <c r="D26" s="35"/>
      <c r="E26" s="36"/>
      <c r="F26" s="36"/>
      <c r="G26" s="36"/>
      <c r="H26" s="36"/>
      <c r="I26" s="36"/>
      <c r="J26" s="36"/>
      <c r="K26" s="36"/>
      <c r="L26" s="37"/>
      <c r="M26" s="31"/>
    </row>
    <row r="27" spans="1:13">
      <c r="A27" s="35"/>
      <c r="B27" s="35"/>
      <c r="C27" s="35"/>
      <c r="D27" s="35"/>
      <c r="E27" s="36"/>
      <c r="F27" s="36"/>
      <c r="G27" s="36"/>
      <c r="H27" s="36"/>
      <c r="I27" s="36"/>
      <c r="J27" s="36"/>
      <c r="K27" s="36"/>
      <c r="L27" s="37"/>
      <c r="M27" s="31"/>
    </row>
    <row r="28" spans="1:13">
      <c r="A28" s="35"/>
      <c r="B28" s="35"/>
      <c r="C28" s="35"/>
      <c r="D28" s="35"/>
      <c r="E28" s="36"/>
      <c r="F28" s="36"/>
      <c r="G28" s="36"/>
      <c r="H28" s="36"/>
      <c r="I28" s="36"/>
      <c r="J28" s="36"/>
      <c r="K28" s="36"/>
      <c r="L28" s="37"/>
      <c r="M28" s="31"/>
    </row>
    <row r="29" spans="1:13">
      <c r="A29" s="35"/>
      <c r="B29" s="35"/>
      <c r="C29" s="35"/>
      <c r="D29" s="35"/>
      <c r="E29" s="36"/>
      <c r="F29" s="36"/>
      <c r="G29" s="36"/>
      <c r="H29" s="36"/>
      <c r="I29" s="36"/>
      <c r="J29" s="36"/>
      <c r="K29" s="36"/>
      <c r="L29" s="37"/>
      <c r="M29" s="31"/>
    </row>
    <row r="30" spans="1:13">
      <c r="A30" s="35"/>
      <c r="B30" s="35"/>
      <c r="C30" s="35"/>
      <c r="D30" s="35"/>
      <c r="E30" s="36"/>
      <c r="F30" s="36"/>
      <c r="G30" s="36"/>
      <c r="H30" s="36"/>
      <c r="I30" s="36"/>
      <c r="J30" s="36"/>
      <c r="K30" s="36"/>
      <c r="L30" s="37"/>
      <c r="M30" s="31"/>
    </row>
    <row r="31" spans="1:13">
      <c r="A31" s="35"/>
      <c r="B31" s="35"/>
      <c r="C31" s="35"/>
      <c r="D31" s="35"/>
      <c r="E31" s="36"/>
      <c r="F31" s="36"/>
      <c r="G31" s="36"/>
      <c r="H31" s="36"/>
      <c r="I31" s="36"/>
      <c r="J31" s="36"/>
      <c r="K31" s="36"/>
      <c r="L31" s="37"/>
      <c r="M31" s="31"/>
    </row>
    <row r="32" spans="1:13">
      <c r="A32" s="35"/>
      <c r="B32" s="35"/>
      <c r="C32" s="35"/>
      <c r="D32" s="35"/>
      <c r="E32" s="36"/>
      <c r="F32" s="36"/>
      <c r="G32" s="36"/>
      <c r="H32" s="36"/>
      <c r="I32" s="36"/>
      <c r="J32" s="36"/>
      <c r="K32" s="36"/>
      <c r="L32" s="37"/>
      <c r="M32" s="31"/>
    </row>
    <row r="33" spans="1:13">
      <c r="A33" s="35"/>
      <c r="B33" s="35"/>
      <c r="C33" s="35"/>
      <c r="D33" s="35"/>
      <c r="E33" s="36"/>
      <c r="F33" s="36"/>
      <c r="G33" s="36"/>
      <c r="H33" s="36"/>
      <c r="I33" s="36"/>
      <c r="J33" s="36"/>
      <c r="K33" s="36"/>
      <c r="L33" s="37"/>
      <c r="M33" s="31"/>
    </row>
    <row r="34" spans="1:13">
      <c r="A34" s="35"/>
      <c r="B34" s="35"/>
      <c r="C34" s="35"/>
      <c r="D34" s="35"/>
      <c r="E34" s="36"/>
      <c r="F34" s="36"/>
      <c r="G34" s="36"/>
      <c r="H34" s="36"/>
      <c r="I34" s="36"/>
      <c r="J34" s="36"/>
      <c r="K34" s="36"/>
      <c r="L34" s="37"/>
      <c r="M34" s="31"/>
    </row>
    <row r="35" spans="1:13">
      <c r="A35" s="35"/>
      <c r="B35" s="35"/>
      <c r="C35" s="35"/>
      <c r="D35" s="35"/>
      <c r="E35" s="36"/>
      <c r="F35" s="36"/>
      <c r="G35" s="36"/>
      <c r="H35" s="36"/>
      <c r="I35" s="36"/>
      <c r="J35" s="36"/>
      <c r="K35" s="36"/>
      <c r="L35" s="37"/>
      <c r="M35" s="31"/>
    </row>
    <row r="36" spans="1:13">
      <c r="A36" s="35"/>
      <c r="B36" s="35"/>
      <c r="C36" s="35"/>
      <c r="D36" s="35"/>
      <c r="E36" s="36"/>
      <c r="F36" s="36"/>
      <c r="G36" s="36"/>
      <c r="H36" s="36"/>
      <c r="I36" s="36"/>
      <c r="J36" s="36"/>
      <c r="K36" s="36"/>
      <c r="L36" s="37"/>
      <c r="M36" s="31"/>
    </row>
    <row r="37" spans="1:13">
      <c r="L37" s="31"/>
      <c r="M37" s="31"/>
    </row>
    <row r="38" spans="1:13">
      <c r="A38" s="24" t="s">
        <v>34</v>
      </c>
      <c r="B38" s="25"/>
      <c r="C38" s="25"/>
      <c r="D38" s="25"/>
      <c r="E38" s="25"/>
      <c r="F38" s="25"/>
      <c r="L38" s="31"/>
      <c r="M38" s="31"/>
    </row>
    <row r="39" spans="1:13">
      <c r="A39" s="169" t="s">
        <v>35</v>
      </c>
      <c r="B39" s="169"/>
      <c r="C39" s="169"/>
      <c r="D39" s="169"/>
      <c r="E39" s="169" t="s">
        <v>209</v>
      </c>
      <c r="F39" s="169"/>
      <c r="G39" s="169"/>
      <c r="H39" s="169"/>
      <c r="I39" s="169"/>
      <c r="J39" s="169" t="s">
        <v>25</v>
      </c>
      <c r="K39" s="169"/>
      <c r="L39" s="169"/>
      <c r="M39" s="31"/>
    </row>
    <row r="40" spans="1:13">
      <c r="A40" s="169"/>
      <c r="B40" s="169"/>
      <c r="C40" s="169"/>
      <c r="D40" s="169"/>
      <c r="E40" s="39" t="s">
        <v>26</v>
      </c>
      <c r="F40" s="39" t="s">
        <v>208</v>
      </c>
      <c r="G40" s="39" t="s">
        <v>27</v>
      </c>
      <c r="H40" s="39" t="s">
        <v>28</v>
      </c>
      <c r="I40" s="39" t="s">
        <v>36</v>
      </c>
      <c r="J40" s="39" t="s">
        <v>30</v>
      </c>
      <c r="K40" s="39" t="s">
        <v>31</v>
      </c>
      <c r="L40" s="39" t="s">
        <v>32</v>
      </c>
      <c r="M40" s="31"/>
    </row>
    <row r="41" spans="1:13" ht="14.1" customHeight="1">
      <c r="A41" s="167" t="str">
        <f>IFERROR(자산목록!$A5,"-")</f>
        <v>U_001</v>
      </c>
      <c r="B41" s="167"/>
      <c r="C41" s="168" t="str">
        <f>IFERROR(VLOOKUP($A41,자산목록!$A$1:$H$854,2,FALSE),"-")</f>
        <v xml:space="preserve"> idt-gov-jenkins</v>
      </c>
      <c r="D41" s="168"/>
      <c r="E41" s="40">
        <f t="shared" ref="E41:E58" ca="1" si="1">IFERROR(INDIRECT(ADDRESS(16, 5, 1,TRUE,$A41)),0)</f>
        <v>36</v>
      </c>
      <c r="F41" s="40">
        <f t="shared" ref="F41:F58" ca="1" si="2">IFERROR(INDIRECT(ADDRESS(16,6, 1,TRUE,$A41)),0)</f>
        <v>36</v>
      </c>
      <c r="G41" s="40">
        <f t="shared" ref="G41:G58" ca="1" si="3">IFERROR(INDIRECT(ADDRESS(16,7, 1,TRUE,$A41)),0)</f>
        <v>32</v>
      </c>
      <c r="H41" s="40">
        <f ca="1">F41-G41</f>
        <v>4</v>
      </c>
      <c r="I41" s="40">
        <f ca="1">E41-F41</f>
        <v>0</v>
      </c>
      <c r="J41" s="40">
        <f t="shared" ref="J41:J58" ca="1" si="4">IFERROR(INDIRECT(ADDRESS(16,8, 1,TRUE,$A41)),0)</f>
        <v>107</v>
      </c>
      <c r="K41" s="40">
        <f t="shared" ref="K41:K58" ca="1" si="5">IFERROR(INDIRECT(ADDRESS(16,9, 1,TRUE,$A41)),0)</f>
        <v>95</v>
      </c>
      <c r="L41" s="41">
        <f t="shared" ref="L41:L58" ca="1" si="6">IFERROR(INDIRECT(ADDRESS(16,10, 1,TRUE,$A41)),0)</f>
        <v>0.88785046728971961</v>
      </c>
    </row>
    <row r="42" spans="1:13" ht="14.1" customHeight="1">
      <c r="A42" s="167" t="str">
        <f>IFERROR(자산목록!$A6,"-")</f>
        <v>U_002</v>
      </c>
      <c r="B42" s="167"/>
      <c r="C42" s="168" t="str">
        <f>IFERROR(VLOOKUP($A42,자산목록!$A$1:$H$854,2,FALSE),"-")</f>
        <v>igt-gov-bastion</v>
      </c>
      <c r="D42" s="168"/>
      <c r="E42" s="40">
        <f t="shared" ca="1" si="1"/>
        <v>36</v>
      </c>
      <c r="F42" s="40">
        <f t="shared" ca="1" si="2"/>
        <v>36</v>
      </c>
      <c r="G42" s="40">
        <f t="shared" ca="1" si="3"/>
        <v>32</v>
      </c>
      <c r="H42" s="40">
        <f ca="1">F42-G42</f>
        <v>4</v>
      </c>
      <c r="I42" s="40">
        <f ca="1">E42-F42</f>
        <v>0</v>
      </c>
      <c r="J42" s="40">
        <f t="shared" ca="1" si="4"/>
        <v>107</v>
      </c>
      <c r="K42" s="40">
        <f t="shared" ca="1" si="5"/>
        <v>95</v>
      </c>
      <c r="L42" s="41">
        <f t="shared" ca="1" si="6"/>
        <v>0.88785046728971961</v>
      </c>
    </row>
    <row r="43" spans="1:13" ht="14.1" customHeight="1">
      <c r="A43" s="167" t="str">
        <f>IFERROR(자산목록!$A7,"-")</f>
        <v>U_003</v>
      </c>
      <c r="B43" s="167"/>
      <c r="C43" s="168" t="str">
        <f>IFERROR(VLOOKUP($A43,자산목록!$A$1:$H$854,2,FALSE),"-")</f>
        <v xml:space="preserve">idt-gov-ngs </v>
      </c>
      <c r="D43" s="168"/>
      <c r="E43" s="40">
        <f t="shared" ca="1" si="1"/>
        <v>36</v>
      </c>
      <c r="F43" s="40">
        <f t="shared" ca="1" si="2"/>
        <v>36</v>
      </c>
      <c r="G43" s="40">
        <f t="shared" ca="1" si="3"/>
        <v>32</v>
      </c>
      <c r="H43" s="40">
        <f ca="1">F43-G43</f>
        <v>4</v>
      </c>
      <c r="I43" s="40">
        <f ca="1">E43-F43</f>
        <v>0</v>
      </c>
      <c r="J43" s="40">
        <f t="shared" ca="1" si="4"/>
        <v>107</v>
      </c>
      <c r="K43" s="40">
        <f t="shared" ca="1" si="5"/>
        <v>95</v>
      </c>
      <c r="L43" s="41">
        <f t="shared" ca="1" si="6"/>
        <v>0.88785046728971961</v>
      </c>
    </row>
    <row r="44" spans="1:13" ht="14.1" customHeight="1">
      <c r="A44" s="167" t="str">
        <f>IFERROR(자산목록!$A8,"-")</f>
        <v>U_004</v>
      </c>
      <c r="B44" s="167"/>
      <c r="C44" s="168" t="str">
        <f>IFERROR(VLOOKUP($A44,자산목록!$A$1:$H$854,2,FALSE),"-")</f>
        <v>idt-gov-pool3-w-155j</v>
      </c>
      <c r="D44" s="168"/>
      <c r="E44" s="40">
        <f t="shared" ca="1" si="1"/>
        <v>36</v>
      </c>
      <c r="F44" s="40">
        <f t="shared" ca="1" si="2"/>
        <v>36</v>
      </c>
      <c r="G44" s="40">
        <f t="shared" ca="1" si="3"/>
        <v>30</v>
      </c>
      <c r="H44" s="40">
        <f ca="1">F44-G44</f>
        <v>6</v>
      </c>
      <c r="I44" s="40">
        <f ca="1">E44-F44</f>
        <v>0</v>
      </c>
      <c r="J44" s="40">
        <f t="shared" ca="1" si="4"/>
        <v>107</v>
      </c>
      <c r="K44" s="40">
        <f t="shared" ca="1" si="5"/>
        <v>90</v>
      </c>
      <c r="L44" s="41">
        <f t="shared" ca="1" si="6"/>
        <v>0.84112149532710279</v>
      </c>
    </row>
    <row r="45" spans="1:13" ht="14.1" customHeight="1">
      <c r="A45" s="167" t="str">
        <f>IFERROR(자산목록!$A9,"-")</f>
        <v>U_005</v>
      </c>
      <c r="B45" s="167"/>
      <c r="C45" s="168" t="str">
        <f>IFERROR(VLOOKUP($A45,자산목록!$A$1:$H$854,2,FALSE),"-")</f>
        <v>idt-gov-pool4-w-158h</v>
      </c>
      <c r="D45" s="168"/>
      <c r="E45" s="40">
        <f t="shared" ca="1" si="1"/>
        <v>36</v>
      </c>
      <c r="F45" s="40">
        <f t="shared" ca="1" si="2"/>
        <v>36</v>
      </c>
      <c r="G45" s="40">
        <f t="shared" ca="1" si="3"/>
        <v>30</v>
      </c>
      <c r="H45" s="40">
        <f t="shared" ref="H45:H58" ca="1" si="7">F45-G45</f>
        <v>6</v>
      </c>
      <c r="I45" s="40">
        <f t="shared" ref="I45:I58" ca="1" si="8">E45-F45</f>
        <v>0</v>
      </c>
      <c r="J45" s="40">
        <f t="shared" ca="1" si="4"/>
        <v>107</v>
      </c>
      <c r="K45" s="40">
        <f t="shared" ca="1" si="5"/>
        <v>90</v>
      </c>
      <c r="L45" s="41">
        <f t="shared" ca="1" si="6"/>
        <v>0.84112149532710279</v>
      </c>
    </row>
    <row r="46" spans="1:13" ht="14.1" customHeight="1">
      <c r="A46" s="167" t="str">
        <f>IFERROR(자산목록!$A10,"-")</f>
        <v>U_006</v>
      </c>
      <c r="B46" s="167"/>
      <c r="C46" s="168" t="str">
        <f>IFERROR(VLOOKUP($A46,자산목록!$A$1:$H$854,2,FALSE),"-")</f>
        <v>pcespg-web-admin-55845bc69b-nxztw</v>
      </c>
      <c r="D46" s="168"/>
      <c r="E46" s="40">
        <f t="shared" ca="1" si="1"/>
        <v>36</v>
      </c>
      <c r="F46" s="40">
        <f t="shared" ca="1" si="2"/>
        <v>36</v>
      </c>
      <c r="G46" s="40">
        <f t="shared" ca="1" si="3"/>
        <v>28</v>
      </c>
      <c r="H46" s="40">
        <f t="shared" ca="1" si="7"/>
        <v>8</v>
      </c>
      <c r="I46" s="40">
        <f t="shared" ca="1" si="8"/>
        <v>0</v>
      </c>
      <c r="J46" s="40">
        <f t="shared" ca="1" si="4"/>
        <v>107</v>
      </c>
      <c r="K46" s="40">
        <f t="shared" ca="1" si="5"/>
        <v>84</v>
      </c>
      <c r="L46" s="41">
        <f t="shared" ca="1" si="6"/>
        <v>0.78504672897196259</v>
      </c>
    </row>
    <row r="47" spans="1:13" ht="14.1" customHeight="1">
      <c r="A47" s="167" t="str">
        <f>IFERROR(자산목록!$A11,"-")</f>
        <v>U_007</v>
      </c>
      <c r="B47" s="167"/>
      <c r="C47" s="168" t="str">
        <f>IFERROR(VLOOKUP($A47,자산목록!$A$1:$H$854,2,FALSE),"-")</f>
        <v>pcespg-web-admin-55845bc69b-p86mk</v>
      </c>
      <c r="D47" s="168"/>
      <c r="E47" s="40">
        <f t="shared" ca="1" si="1"/>
        <v>36</v>
      </c>
      <c r="F47" s="40">
        <f t="shared" ca="1" si="2"/>
        <v>36</v>
      </c>
      <c r="G47" s="40">
        <f t="shared" ca="1" si="3"/>
        <v>28</v>
      </c>
      <c r="H47" s="40">
        <f t="shared" ref="H47" ca="1" si="9">F47-G47</f>
        <v>8</v>
      </c>
      <c r="I47" s="40">
        <f t="shared" ref="I47" ca="1" si="10">E47-F47</f>
        <v>0</v>
      </c>
      <c r="J47" s="40">
        <f t="shared" ca="1" si="4"/>
        <v>107</v>
      </c>
      <c r="K47" s="40">
        <f t="shared" ca="1" si="5"/>
        <v>84</v>
      </c>
      <c r="L47" s="41">
        <f t="shared" ca="1" si="6"/>
        <v>0.78504672897196259</v>
      </c>
    </row>
    <row r="48" spans="1:13" ht="14.1" customHeight="1">
      <c r="A48" s="167" t="str">
        <f>IFERROR(자산목록!$A12,"-")</f>
        <v>U_008</v>
      </c>
      <c r="B48" s="167"/>
      <c r="C48" s="168" t="str">
        <f>IFERROR(VLOOKUP($A48,자산목록!$A$1:$H$854,2,FALSE),"-")</f>
        <v>pcespg-web-5674f488d5-nq9w5</v>
      </c>
      <c r="D48" s="168"/>
      <c r="E48" s="40">
        <f t="shared" ca="1" si="1"/>
        <v>36</v>
      </c>
      <c r="F48" s="40">
        <f t="shared" ca="1" si="2"/>
        <v>36</v>
      </c>
      <c r="G48" s="40">
        <f t="shared" ca="1" si="3"/>
        <v>28</v>
      </c>
      <c r="H48" s="40">
        <f t="shared" ca="1" si="7"/>
        <v>8</v>
      </c>
      <c r="I48" s="40">
        <f t="shared" ca="1" si="8"/>
        <v>0</v>
      </c>
      <c r="J48" s="40">
        <f t="shared" ca="1" si="4"/>
        <v>107</v>
      </c>
      <c r="K48" s="40">
        <f t="shared" ca="1" si="5"/>
        <v>84</v>
      </c>
      <c r="L48" s="41">
        <f t="shared" ca="1" si="6"/>
        <v>0.78504672897196259</v>
      </c>
    </row>
    <row r="49" spans="1:12" ht="14.1" customHeight="1">
      <c r="A49" s="167" t="str">
        <f>IFERROR(자산목록!$A13,"-")</f>
        <v>U_009</v>
      </c>
      <c r="B49" s="167"/>
      <c r="C49" s="168" t="str">
        <f>IFERROR(VLOOKUP($A49,자산목록!$A$1:$H$854,2,FALSE),"-")</f>
        <v>pcespg-web-5674f488d5-h7zzl</v>
      </c>
      <c r="D49" s="168"/>
      <c r="E49" s="40">
        <f t="shared" ca="1" si="1"/>
        <v>36</v>
      </c>
      <c r="F49" s="40">
        <f t="shared" ca="1" si="2"/>
        <v>36</v>
      </c>
      <c r="G49" s="40">
        <f t="shared" ca="1" si="3"/>
        <v>28</v>
      </c>
      <c r="H49" s="40">
        <f t="shared" ref="H49" ca="1" si="11">F49-G49</f>
        <v>8</v>
      </c>
      <c r="I49" s="40">
        <f t="shared" ref="I49" ca="1" si="12">E49-F49</f>
        <v>0</v>
      </c>
      <c r="J49" s="40">
        <f t="shared" ca="1" si="4"/>
        <v>107</v>
      </c>
      <c r="K49" s="40">
        <f t="shared" ca="1" si="5"/>
        <v>84</v>
      </c>
      <c r="L49" s="41">
        <f t="shared" ca="1" si="6"/>
        <v>0.78504672897196259</v>
      </c>
    </row>
    <row r="50" spans="1:12" ht="14.1" customHeight="1">
      <c r="A50" s="167" t="str">
        <f>IFERROR(자산목록!$A14,"-")</f>
        <v>U_010</v>
      </c>
      <c r="B50" s="167"/>
      <c r="C50" s="168" t="str">
        <f>IFERROR(VLOOKUP($A50,자산목록!$A$1:$H$854,2,FALSE),"-")</f>
        <v>pcespg-api-admin-74df64559f-5wgfk</v>
      </c>
      <c r="D50" s="168"/>
      <c r="E50" s="40">
        <f t="shared" ca="1" si="1"/>
        <v>36</v>
      </c>
      <c r="F50" s="40">
        <f t="shared" ca="1" si="2"/>
        <v>36</v>
      </c>
      <c r="G50" s="40">
        <f t="shared" ca="1" si="3"/>
        <v>28</v>
      </c>
      <c r="H50" s="40">
        <f t="shared" ca="1" si="7"/>
        <v>8</v>
      </c>
      <c r="I50" s="40">
        <f t="shared" ca="1" si="8"/>
        <v>0</v>
      </c>
      <c r="J50" s="40">
        <f t="shared" ca="1" si="4"/>
        <v>107</v>
      </c>
      <c r="K50" s="40">
        <f t="shared" ca="1" si="5"/>
        <v>84</v>
      </c>
      <c r="L50" s="41">
        <f t="shared" ca="1" si="6"/>
        <v>0.78504672897196259</v>
      </c>
    </row>
    <row r="51" spans="1:12" ht="14.1" customHeight="1">
      <c r="A51" s="167" t="str">
        <f>IFERROR(자산목록!$A15,"-")</f>
        <v>U_011</v>
      </c>
      <c r="B51" s="167"/>
      <c r="C51" s="168" t="str">
        <f>IFERROR(VLOOKUP($A51,자산목록!$A$1:$H$854,2,FALSE),"-")</f>
        <v>pcespg-api-admin-74df64559f-rrwrl</v>
      </c>
      <c r="D51" s="168"/>
      <c r="E51" s="40">
        <f t="shared" ca="1" si="1"/>
        <v>36</v>
      </c>
      <c r="F51" s="40">
        <f t="shared" ca="1" si="2"/>
        <v>36</v>
      </c>
      <c r="G51" s="40">
        <f t="shared" ca="1" si="3"/>
        <v>28</v>
      </c>
      <c r="H51" s="40">
        <f t="shared" ref="H51" ca="1" si="13">F51-G51</f>
        <v>8</v>
      </c>
      <c r="I51" s="40">
        <f t="shared" ref="I51" ca="1" si="14">E51-F51</f>
        <v>0</v>
      </c>
      <c r="J51" s="40">
        <f t="shared" ca="1" si="4"/>
        <v>107</v>
      </c>
      <c r="K51" s="40">
        <f t="shared" ca="1" si="5"/>
        <v>84</v>
      </c>
      <c r="L51" s="41">
        <f t="shared" ca="1" si="6"/>
        <v>0.78504672897196259</v>
      </c>
    </row>
    <row r="52" spans="1:12" ht="14.1" customHeight="1">
      <c r="A52" s="167" t="str">
        <f>IFERROR(자산목록!$A16,"-")</f>
        <v>U_012</v>
      </c>
      <c r="B52" s="167"/>
      <c r="C52" s="168" t="str">
        <f>IFERROR(VLOOKUP($A52,자산목록!$A$1:$H$854,2,FALSE),"-")</f>
        <v>pcespg-api-biz-5749fc55dc-sj9mp</v>
      </c>
      <c r="D52" s="168"/>
      <c r="E52" s="40">
        <f t="shared" ca="1" si="1"/>
        <v>36</v>
      </c>
      <c r="F52" s="40">
        <f t="shared" ca="1" si="2"/>
        <v>36</v>
      </c>
      <c r="G52" s="40">
        <f t="shared" ca="1" si="3"/>
        <v>28</v>
      </c>
      <c r="H52" s="40">
        <f t="shared" ca="1" si="7"/>
        <v>8</v>
      </c>
      <c r="I52" s="40">
        <f t="shared" ca="1" si="8"/>
        <v>0</v>
      </c>
      <c r="J52" s="40">
        <f t="shared" ca="1" si="4"/>
        <v>107</v>
      </c>
      <c r="K52" s="40">
        <f t="shared" ca="1" si="5"/>
        <v>84</v>
      </c>
      <c r="L52" s="41">
        <f t="shared" ca="1" si="6"/>
        <v>0.78504672897196259</v>
      </c>
    </row>
    <row r="53" spans="1:12" ht="14.1" customHeight="1">
      <c r="A53" s="167" t="str">
        <f>IFERROR(자산목록!$A17,"-")</f>
        <v>U_013</v>
      </c>
      <c r="B53" s="167"/>
      <c r="C53" s="168" t="str">
        <f>IFERROR(VLOOKUP($A53,자산목록!$A$1:$H$854,2,FALSE),"-")</f>
        <v>pcespg-api-biz-5749fc55dc-g956g</v>
      </c>
      <c r="D53" s="168"/>
      <c r="E53" s="40">
        <f t="shared" ca="1" si="1"/>
        <v>36</v>
      </c>
      <c r="F53" s="40">
        <f t="shared" ca="1" si="2"/>
        <v>36</v>
      </c>
      <c r="G53" s="40">
        <f t="shared" ca="1" si="3"/>
        <v>28</v>
      </c>
      <c r="H53" s="40">
        <f t="shared" ref="H53" ca="1" si="15">F53-G53</f>
        <v>8</v>
      </c>
      <c r="I53" s="40">
        <f t="shared" ref="I53" ca="1" si="16">E53-F53</f>
        <v>0</v>
      </c>
      <c r="J53" s="40">
        <f t="shared" ca="1" si="4"/>
        <v>107</v>
      </c>
      <c r="K53" s="40">
        <f t="shared" ca="1" si="5"/>
        <v>84</v>
      </c>
      <c r="L53" s="41">
        <f t="shared" ca="1" si="6"/>
        <v>0.78504672897196259</v>
      </c>
    </row>
    <row r="54" spans="1:12" ht="14.1" customHeight="1">
      <c r="A54" s="167" t="str">
        <f>IFERROR(자산목록!$A18,"-")</f>
        <v>U_014</v>
      </c>
      <c r="B54" s="167"/>
      <c r="C54" s="168" t="str">
        <f>IFERROR(VLOOKUP($A54,자산목록!$A$1:$H$854,2,FALSE),"-")</f>
        <v>pcespg-api-comm-796dfdd4bd-74zj4</v>
      </c>
      <c r="D54" s="168"/>
      <c r="E54" s="40">
        <f t="shared" ca="1" si="1"/>
        <v>36</v>
      </c>
      <c r="F54" s="40">
        <f t="shared" ca="1" si="2"/>
        <v>36</v>
      </c>
      <c r="G54" s="40">
        <f t="shared" ca="1" si="3"/>
        <v>28</v>
      </c>
      <c r="H54" s="40">
        <f t="shared" ca="1" si="7"/>
        <v>8</v>
      </c>
      <c r="I54" s="40">
        <f t="shared" ca="1" si="8"/>
        <v>0</v>
      </c>
      <c r="J54" s="40">
        <f t="shared" ca="1" si="4"/>
        <v>107</v>
      </c>
      <c r="K54" s="40">
        <f t="shared" ca="1" si="5"/>
        <v>84</v>
      </c>
      <c r="L54" s="41">
        <f t="shared" ca="1" si="6"/>
        <v>0.78504672897196259</v>
      </c>
    </row>
    <row r="55" spans="1:12" ht="14.1" customHeight="1">
      <c r="A55" s="167" t="str">
        <f>IFERROR(자산목록!$A19,"-")</f>
        <v>U_015</v>
      </c>
      <c r="B55" s="167"/>
      <c r="C55" s="168" t="str">
        <f>IFERROR(VLOOKUP($A55,자산목록!$A$1:$H$854,2,FALSE),"-")</f>
        <v>pcespg-api-comm-796dfdd4bd-54kdc</v>
      </c>
      <c r="D55" s="168"/>
      <c r="E55" s="40">
        <f t="shared" ca="1" si="1"/>
        <v>36</v>
      </c>
      <c r="F55" s="40">
        <f t="shared" ca="1" si="2"/>
        <v>36</v>
      </c>
      <c r="G55" s="40">
        <f t="shared" ca="1" si="3"/>
        <v>28</v>
      </c>
      <c r="H55" s="40">
        <f t="shared" ref="H55" ca="1" si="17">F55-G55</f>
        <v>8</v>
      </c>
      <c r="I55" s="40">
        <f t="shared" ref="I55" ca="1" si="18">E55-F55</f>
        <v>0</v>
      </c>
      <c r="J55" s="40">
        <f t="shared" ca="1" si="4"/>
        <v>107</v>
      </c>
      <c r="K55" s="40">
        <f t="shared" ca="1" si="5"/>
        <v>84</v>
      </c>
      <c r="L55" s="41">
        <f t="shared" ca="1" si="6"/>
        <v>0.78504672897196259</v>
      </c>
    </row>
    <row r="56" spans="1:12" ht="14.1" customHeight="1">
      <c r="A56" s="167" t="str">
        <f>IFERROR(자산목록!$A20,"-")</f>
        <v>U_016</v>
      </c>
      <c r="B56" s="167"/>
      <c r="C56" s="168" t="str">
        <f>IFERROR(VLOOKUP($A56,자산목록!$A$1:$H$854,2,FALSE),"-")</f>
        <v>pcespg-gw-5bc7bfb557-n9dbr</v>
      </c>
      <c r="D56" s="168"/>
      <c r="E56" s="40">
        <f t="shared" ca="1" si="1"/>
        <v>36</v>
      </c>
      <c r="F56" s="40">
        <f t="shared" ca="1" si="2"/>
        <v>36</v>
      </c>
      <c r="G56" s="40">
        <f t="shared" ca="1" si="3"/>
        <v>28</v>
      </c>
      <c r="H56" s="40">
        <f t="shared" ca="1" si="7"/>
        <v>8</v>
      </c>
      <c r="I56" s="40">
        <f t="shared" ca="1" si="8"/>
        <v>0</v>
      </c>
      <c r="J56" s="40">
        <f t="shared" ca="1" si="4"/>
        <v>107</v>
      </c>
      <c r="K56" s="40">
        <f t="shared" ca="1" si="5"/>
        <v>84</v>
      </c>
      <c r="L56" s="41">
        <f t="shared" ca="1" si="6"/>
        <v>0.78504672897196259</v>
      </c>
    </row>
    <row r="57" spans="1:12" ht="14.1" customHeight="1">
      <c r="A57" s="167" t="str">
        <f>IFERROR(자산목록!$A21,"-")</f>
        <v>U_017</v>
      </c>
      <c r="B57" s="167"/>
      <c r="C57" s="168" t="str">
        <f>IFERROR(VLOOKUP($A57,자산목록!$A$1:$H$854,2,FALSE),"-")</f>
        <v>pcespg-gw-5bc7bfb557-fb6g9</v>
      </c>
      <c r="D57" s="168"/>
      <c r="E57" s="40">
        <f t="shared" ca="1" si="1"/>
        <v>36</v>
      </c>
      <c r="F57" s="40">
        <f t="shared" ca="1" si="2"/>
        <v>36</v>
      </c>
      <c r="G57" s="40">
        <f t="shared" ca="1" si="3"/>
        <v>28</v>
      </c>
      <c r="H57" s="40">
        <f t="shared" ref="H57" ca="1" si="19">F57-G57</f>
        <v>8</v>
      </c>
      <c r="I57" s="40">
        <f t="shared" ref="I57" ca="1" si="20">E57-F57</f>
        <v>0</v>
      </c>
      <c r="J57" s="40">
        <f t="shared" ca="1" si="4"/>
        <v>107</v>
      </c>
      <c r="K57" s="40">
        <f t="shared" ca="1" si="5"/>
        <v>84</v>
      </c>
      <c r="L57" s="41">
        <f t="shared" ca="1" si="6"/>
        <v>0.78504672897196259</v>
      </c>
    </row>
    <row r="58" spans="1:12" ht="14.1" customHeight="1">
      <c r="A58" s="167" t="str">
        <f>IFERROR(자산목록!$A22,"-")</f>
        <v>U_018</v>
      </c>
      <c r="B58" s="167"/>
      <c r="C58" s="168" t="str">
        <f>IFERROR(VLOOKUP($A58,자산목록!$A$1:$H$854,2,FALSE),"-")</f>
        <v>gaia</v>
      </c>
      <c r="D58" s="168"/>
      <c r="E58" s="40">
        <f t="shared" ca="1" si="1"/>
        <v>36</v>
      </c>
      <c r="F58" s="40">
        <f t="shared" ca="1" si="2"/>
        <v>36</v>
      </c>
      <c r="G58" s="40">
        <f t="shared" ca="1" si="3"/>
        <v>28</v>
      </c>
      <c r="H58" s="40">
        <f t="shared" ca="1" si="7"/>
        <v>8</v>
      </c>
      <c r="I58" s="40">
        <f t="shared" ca="1" si="8"/>
        <v>0</v>
      </c>
      <c r="J58" s="40">
        <f t="shared" ca="1" si="4"/>
        <v>107</v>
      </c>
      <c r="K58" s="40">
        <f t="shared" ca="1" si="5"/>
        <v>84</v>
      </c>
      <c r="L58" s="41">
        <f t="shared" ca="1" si="6"/>
        <v>0.78504672897196259</v>
      </c>
    </row>
    <row r="59" spans="1:12" ht="14.1" customHeight="1">
      <c r="A59" s="164" t="s">
        <v>33</v>
      </c>
      <c r="B59" s="165"/>
      <c r="C59" s="165"/>
      <c r="D59" s="166"/>
      <c r="E59" s="42">
        <f t="shared" ref="E59:K59" ca="1" si="21">SUM(E41:E58)</f>
        <v>648</v>
      </c>
      <c r="F59" s="42">
        <f t="shared" ca="1" si="21"/>
        <v>648</v>
      </c>
      <c r="G59" s="42">
        <f t="shared" ca="1" si="21"/>
        <v>520</v>
      </c>
      <c r="H59" s="42">
        <f t="shared" ca="1" si="21"/>
        <v>128</v>
      </c>
      <c r="I59" s="42">
        <f t="shared" ca="1" si="21"/>
        <v>0</v>
      </c>
      <c r="J59" s="42">
        <f t="shared" ca="1" si="21"/>
        <v>1926</v>
      </c>
      <c r="K59" s="42">
        <f t="shared" ca="1" si="21"/>
        <v>1557</v>
      </c>
      <c r="L59" s="43">
        <f ca="1">IFERROR(K59/J59, 0)</f>
        <v>0.80841121495327106</v>
      </c>
    </row>
    <row r="60" spans="1:12">
      <c r="A60" s="35"/>
      <c r="B60" s="25"/>
      <c r="C60" s="25"/>
      <c r="D60" s="25"/>
      <c r="E60" s="25"/>
      <c r="F60" s="25"/>
    </row>
    <row r="61" spans="1:12">
      <c r="A61" s="35"/>
      <c r="B61" s="25"/>
      <c r="C61" s="25"/>
      <c r="D61" s="25"/>
      <c r="E61" s="25"/>
      <c r="F61" s="25"/>
    </row>
    <row r="62" spans="1:12">
      <c r="A62" s="31"/>
      <c r="B62" s="25"/>
      <c r="C62" s="25"/>
      <c r="D62" s="25"/>
      <c r="E62" s="25"/>
      <c r="F62" s="25"/>
    </row>
    <row r="63" spans="1:12">
      <c r="A63" s="31"/>
      <c r="B63" s="25"/>
      <c r="C63" s="25"/>
      <c r="D63" s="25"/>
      <c r="E63" s="25"/>
      <c r="F63" s="25"/>
    </row>
    <row r="64" spans="1:12">
      <c r="A64" s="31"/>
      <c r="B64" s="25"/>
      <c r="C64" s="25"/>
      <c r="D64" s="25"/>
      <c r="E64" s="25"/>
      <c r="F64" s="25"/>
    </row>
    <row r="65" spans="1:6">
      <c r="A65" s="31"/>
      <c r="B65" s="25"/>
      <c r="C65" s="25"/>
      <c r="D65" s="25"/>
      <c r="E65" s="25"/>
      <c r="F65" s="25"/>
    </row>
    <row r="66" spans="1:6">
      <c r="A66" s="31"/>
      <c r="B66" s="25"/>
      <c r="C66" s="25"/>
      <c r="D66" s="25"/>
      <c r="E66" s="25"/>
      <c r="F66" s="25"/>
    </row>
    <row r="67" spans="1:6">
      <c r="A67" s="31"/>
      <c r="B67" s="25"/>
      <c r="C67" s="25"/>
      <c r="D67" s="25"/>
      <c r="E67" s="25"/>
      <c r="F67" s="25"/>
    </row>
    <row r="68" spans="1:6">
      <c r="A68" s="31"/>
      <c r="B68" s="25"/>
      <c r="C68" s="25"/>
      <c r="D68" s="25"/>
      <c r="E68" s="25"/>
      <c r="F68" s="25"/>
    </row>
    <row r="69" spans="1:6">
      <c r="A69" s="31"/>
      <c r="B69" s="25"/>
      <c r="C69" s="25"/>
      <c r="D69" s="25"/>
      <c r="E69" s="25"/>
      <c r="F69" s="25"/>
    </row>
    <row r="70" spans="1:6">
      <c r="A70" s="31"/>
      <c r="B70" s="25"/>
      <c r="C70" s="25"/>
      <c r="D70" s="25"/>
      <c r="E70" s="25"/>
      <c r="F70" s="25"/>
    </row>
    <row r="71" spans="1:6">
      <c r="A71" s="31"/>
      <c r="B71" s="25"/>
      <c r="C71" s="25"/>
      <c r="D71" s="25"/>
      <c r="E71" s="25"/>
      <c r="F71" s="25"/>
    </row>
    <row r="72" spans="1:6">
      <c r="A72" s="31"/>
      <c r="B72" s="25"/>
      <c r="C72" s="25"/>
      <c r="D72" s="25"/>
      <c r="E72" s="25"/>
      <c r="F72" s="25"/>
    </row>
    <row r="73" spans="1:6">
      <c r="A73" s="31"/>
      <c r="B73" s="25"/>
      <c r="C73" s="25"/>
      <c r="D73" s="25"/>
      <c r="E73" s="25"/>
      <c r="F73" s="25"/>
    </row>
    <row r="74" spans="1:6">
      <c r="A74" s="31"/>
      <c r="B74" s="25"/>
      <c r="C74" s="25"/>
      <c r="D74" s="25"/>
      <c r="E74" s="25"/>
      <c r="F74" s="25"/>
    </row>
    <row r="75" spans="1:6">
      <c r="B75" s="25"/>
      <c r="C75" s="25"/>
      <c r="D75" s="25"/>
      <c r="E75" s="25"/>
      <c r="F75" s="25"/>
    </row>
    <row r="76" spans="1:6">
      <c r="B76" s="25"/>
      <c r="C76" s="25"/>
      <c r="D76" s="25"/>
      <c r="E76" s="25"/>
      <c r="F76" s="25"/>
    </row>
    <row r="77" spans="1:6">
      <c r="B77" s="25"/>
      <c r="C77" s="25"/>
      <c r="D77" s="25"/>
      <c r="E77" s="25"/>
      <c r="F77" s="25"/>
    </row>
    <row r="78" spans="1:6">
      <c r="B78" s="25"/>
      <c r="C78" s="25"/>
      <c r="D78" s="25"/>
      <c r="E78" s="25"/>
      <c r="F78" s="25"/>
    </row>
    <row r="79" spans="1:6">
      <c r="B79" s="25"/>
      <c r="C79" s="25"/>
      <c r="D79" s="25"/>
      <c r="E79" s="25"/>
      <c r="F79" s="25"/>
    </row>
    <row r="80" spans="1:6">
      <c r="B80" s="25"/>
      <c r="C80" s="25"/>
      <c r="D80" s="25"/>
      <c r="E80" s="25"/>
      <c r="F80" s="25"/>
    </row>
    <row r="81" s="25" customFormat="1"/>
    <row r="82" s="25" customFormat="1"/>
    <row r="83" s="25" customFormat="1"/>
    <row r="84" s="25" customFormat="1"/>
    <row r="85" s="25" customFormat="1"/>
    <row r="86" s="25" customFormat="1"/>
    <row r="87" s="25" customFormat="1"/>
    <row r="88" s="25" customFormat="1"/>
    <row r="90" s="25" customFormat="1"/>
    <row r="91" s="25" customFormat="1"/>
    <row r="92" s="25" customFormat="1"/>
  </sheetData>
  <mergeCells count="48">
    <mergeCell ref="A55:B55"/>
    <mergeCell ref="C55:D55"/>
    <mergeCell ref="A57:B57"/>
    <mergeCell ref="C57:D57"/>
    <mergeCell ref="A47:B47"/>
    <mergeCell ref="C47:D47"/>
    <mergeCell ref="A49:B49"/>
    <mergeCell ref="C49:D49"/>
    <mergeCell ref="A51:B51"/>
    <mergeCell ref="C51:D51"/>
    <mergeCell ref="A53:B53"/>
    <mergeCell ref="C53:D53"/>
    <mergeCell ref="C46:D46"/>
    <mergeCell ref="A41:B41"/>
    <mergeCell ref="C41:D41"/>
    <mergeCell ref="A42:B42"/>
    <mergeCell ref="C42:D42"/>
    <mergeCell ref="A43:B43"/>
    <mergeCell ref="C43:D43"/>
    <mergeCell ref="A44:B44"/>
    <mergeCell ref="C44:D44"/>
    <mergeCell ref="J39:L39"/>
    <mergeCell ref="E4:I4"/>
    <mergeCell ref="J4:L4"/>
    <mergeCell ref="B6:D6"/>
    <mergeCell ref="B7:D7"/>
    <mergeCell ref="B8:D8"/>
    <mergeCell ref="A4:D5"/>
    <mergeCell ref="B9:D9"/>
    <mergeCell ref="B10:D10"/>
    <mergeCell ref="A39:D40"/>
    <mergeCell ref="E39:I39"/>
    <mergeCell ref="A59:D59"/>
    <mergeCell ref="A45:B45"/>
    <mergeCell ref="C45:D45"/>
    <mergeCell ref="C56:D56"/>
    <mergeCell ref="A58:B58"/>
    <mergeCell ref="C58:D58"/>
    <mergeCell ref="A48:B48"/>
    <mergeCell ref="C48:D48"/>
    <mergeCell ref="A56:B56"/>
    <mergeCell ref="A50:B50"/>
    <mergeCell ref="C50:D50"/>
    <mergeCell ref="A52:B52"/>
    <mergeCell ref="C52:D52"/>
    <mergeCell ref="A54:B54"/>
    <mergeCell ref="C54:D54"/>
    <mergeCell ref="A46:B46"/>
  </mergeCells>
  <phoneticPr fontId="8" type="noConversion"/>
  <printOptions horizontalCentered="1"/>
  <pageMargins left="0.39370078740157483" right="0.39370078740157483" top="0.59055118110236227" bottom="0.59055118110236227" header="0.39370078740157483" footer="0.39370078740157483"/>
  <pageSetup paperSize="9" scale="73" fitToHeight="9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45"/>
  <sheetViews>
    <sheetView showGridLines="0" view="pageBreakPreview" zoomScaleNormal="100" zoomScaleSheetLayoutView="100" workbookViewId="0">
      <pane xSplit="5" ySplit="4" topLeftCell="F5" activePane="bottomRight" state="frozen"/>
      <selection pane="topRight"/>
      <selection pane="bottomLeft"/>
      <selection pane="bottomRight" activeCell="F5" sqref="F5"/>
    </sheetView>
  </sheetViews>
  <sheetFormatPr defaultRowHeight="9.6"/>
  <cols>
    <col min="1" max="1" width="4.09765625" style="50" customWidth="1"/>
    <col min="2" max="2" width="9" style="50" hidden="1" customWidth="1"/>
    <col min="3" max="3" width="6.69921875" style="62" customWidth="1"/>
    <col min="4" max="4" width="43.59765625" style="68" bestFit="1" customWidth="1"/>
    <col min="5" max="5" width="5.59765625" style="68" bestFit="1" customWidth="1"/>
    <col min="6" max="7" width="5.09765625" style="68" customWidth="1"/>
    <col min="8" max="8" width="5.09765625" style="50" customWidth="1"/>
    <col min="9" max="9" width="5.09765625" style="50" hidden="1" customWidth="1"/>
    <col min="10" max="11" width="5.09765625" style="50" customWidth="1"/>
    <col min="12" max="29" width="8.59765625" style="50" customWidth="1"/>
    <col min="30" max="36" width="9" style="62"/>
    <col min="37" max="37" width="4.09765625" style="62" customWidth="1"/>
    <col min="38" max="38" width="6.69921875" style="62" customWidth="1"/>
    <col min="39" max="39" width="43.59765625" style="62" bestFit="1" customWidth="1"/>
    <col min="40" max="40" width="5.59765625" style="62" bestFit="1" customWidth="1"/>
    <col min="41" max="46" width="5.09765625" style="62" customWidth="1"/>
    <col min="47" max="50" width="8.59765625" style="62" customWidth="1"/>
    <col min="51" max="57" width="10" style="62" customWidth="1"/>
    <col min="58" max="69" width="9" style="62"/>
    <col min="70" max="70" width="10" style="62" customWidth="1"/>
    <col min="71" max="292" width="9" style="62"/>
    <col min="293" max="293" width="4.09765625" style="62" customWidth="1"/>
    <col min="294" max="294" width="6.69921875" style="62" customWidth="1"/>
    <col min="295" max="295" width="43.59765625" style="62" bestFit="1" customWidth="1"/>
    <col min="296" max="296" width="5.59765625" style="62" bestFit="1" customWidth="1"/>
    <col min="297" max="302" width="5.09765625" style="62" customWidth="1"/>
    <col min="303" max="306" width="8.59765625" style="62" customWidth="1"/>
    <col min="307" max="313" width="10" style="62" customWidth="1"/>
    <col min="314" max="325" width="9" style="62"/>
    <col min="326" max="326" width="10" style="62" customWidth="1"/>
    <col min="327" max="548" width="9" style="62"/>
    <col min="549" max="549" width="4.09765625" style="62" customWidth="1"/>
    <col min="550" max="550" width="6.69921875" style="62" customWidth="1"/>
    <col min="551" max="551" width="43.59765625" style="62" bestFit="1" customWidth="1"/>
    <col min="552" max="552" width="5.59765625" style="62" bestFit="1" customWidth="1"/>
    <col min="553" max="558" width="5.09765625" style="62" customWidth="1"/>
    <col min="559" max="562" width="8.59765625" style="62" customWidth="1"/>
    <col min="563" max="569" width="10" style="62" customWidth="1"/>
    <col min="570" max="581" width="9" style="62"/>
    <col min="582" max="582" width="10" style="62" customWidth="1"/>
    <col min="583" max="804" width="9" style="62"/>
    <col min="805" max="805" width="4.09765625" style="62" customWidth="1"/>
    <col min="806" max="806" width="6.69921875" style="62" customWidth="1"/>
    <col min="807" max="807" width="43.59765625" style="62" bestFit="1" customWidth="1"/>
    <col min="808" max="808" width="5.59765625" style="62" bestFit="1" customWidth="1"/>
    <col min="809" max="814" width="5.09765625" style="62" customWidth="1"/>
    <col min="815" max="818" width="8.59765625" style="62" customWidth="1"/>
    <col min="819" max="825" width="10" style="62" customWidth="1"/>
    <col min="826" max="837" width="9" style="62"/>
    <col min="838" max="838" width="10" style="62" customWidth="1"/>
    <col min="839" max="1060" width="9" style="62"/>
    <col min="1061" max="1061" width="4.09765625" style="62" customWidth="1"/>
    <col min="1062" max="1062" width="6.69921875" style="62" customWidth="1"/>
    <col min="1063" max="1063" width="43.59765625" style="62" bestFit="1" customWidth="1"/>
    <col min="1064" max="1064" width="5.59765625" style="62" bestFit="1" customWidth="1"/>
    <col min="1065" max="1070" width="5.09765625" style="62" customWidth="1"/>
    <col min="1071" max="1074" width="8.59765625" style="62" customWidth="1"/>
    <col min="1075" max="1081" width="10" style="62" customWidth="1"/>
    <col min="1082" max="1093" width="9" style="62"/>
    <col min="1094" max="1094" width="10" style="62" customWidth="1"/>
    <col min="1095" max="1316" width="9" style="62"/>
    <col min="1317" max="1317" width="4.09765625" style="62" customWidth="1"/>
    <col min="1318" max="1318" width="6.69921875" style="62" customWidth="1"/>
    <col min="1319" max="1319" width="43.59765625" style="62" bestFit="1" customWidth="1"/>
    <col min="1320" max="1320" width="5.59765625" style="62" bestFit="1" customWidth="1"/>
    <col min="1321" max="1326" width="5.09765625" style="62" customWidth="1"/>
    <col min="1327" max="1330" width="8.59765625" style="62" customWidth="1"/>
    <col min="1331" max="1337" width="10" style="62" customWidth="1"/>
    <col min="1338" max="1349" width="9" style="62"/>
    <col min="1350" max="1350" width="10" style="62" customWidth="1"/>
    <col min="1351" max="1572" width="9" style="62"/>
    <col min="1573" max="1573" width="4.09765625" style="62" customWidth="1"/>
    <col min="1574" max="1574" width="6.69921875" style="62" customWidth="1"/>
    <col min="1575" max="1575" width="43.59765625" style="62" bestFit="1" customWidth="1"/>
    <col min="1576" max="1576" width="5.59765625" style="62" bestFit="1" customWidth="1"/>
    <col min="1577" max="1582" width="5.09765625" style="62" customWidth="1"/>
    <col min="1583" max="1586" width="8.59765625" style="62" customWidth="1"/>
    <col min="1587" max="1593" width="10" style="62" customWidth="1"/>
    <col min="1594" max="1605" width="9" style="62"/>
    <col min="1606" max="1606" width="10" style="62" customWidth="1"/>
    <col min="1607" max="1828" width="9" style="62"/>
    <col min="1829" max="1829" width="4.09765625" style="62" customWidth="1"/>
    <col min="1830" max="1830" width="6.69921875" style="62" customWidth="1"/>
    <col min="1831" max="1831" width="43.59765625" style="62" bestFit="1" customWidth="1"/>
    <col min="1832" max="1832" width="5.59765625" style="62" bestFit="1" customWidth="1"/>
    <col min="1833" max="1838" width="5.09765625" style="62" customWidth="1"/>
    <col min="1839" max="1842" width="8.59765625" style="62" customWidth="1"/>
    <col min="1843" max="1849" width="10" style="62" customWidth="1"/>
    <col min="1850" max="1861" width="9" style="62"/>
    <col min="1862" max="1862" width="10" style="62" customWidth="1"/>
    <col min="1863" max="2084" width="9" style="62"/>
    <col min="2085" max="2085" width="4.09765625" style="62" customWidth="1"/>
    <col min="2086" max="2086" width="6.69921875" style="62" customWidth="1"/>
    <col min="2087" max="2087" width="43.59765625" style="62" bestFit="1" customWidth="1"/>
    <col min="2088" max="2088" width="5.59765625" style="62" bestFit="1" customWidth="1"/>
    <col min="2089" max="2094" width="5.09765625" style="62" customWidth="1"/>
    <col min="2095" max="2098" width="8.59765625" style="62" customWidth="1"/>
    <col min="2099" max="2105" width="10" style="62" customWidth="1"/>
    <col min="2106" max="2117" width="9" style="62"/>
    <col min="2118" max="2118" width="10" style="62" customWidth="1"/>
    <col min="2119" max="2340" width="9" style="62"/>
    <col min="2341" max="2341" width="4.09765625" style="62" customWidth="1"/>
    <col min="2342" max="2342" width="6.69921875" style="62" customWidth="1"/>
    <col min="2343" max="2343" width="43.59765625" style="62" bestFit="1" customWidth="1"/>
    <col min="2344" max="2344" width="5.59765625" style="62" bestFit="1" customWidth="1"/>
    <col min="2345" max="2350" width="5.09765625" style="62" customWidth="1"/>
    <col min="2351" max="2354" width="8.59765625" style="62" customWidth="1"/>
    <col min="2355" max="2361" width="10" style="62" customWidth="1"/>
    <col min="2362" max="2373" width="9" style="62"/>
    <col min="2374" max="2374" width="10" style="62" customWidth="1"/>
    <col min="2375" max="2596" width="9" style="62"/>
    <col min="2597" max="2597" width="4.09765625" style="62" customWidth="1"/>
    <col min="2598" max="2598" width="6.69921875" style="62" customWidth="1"/>
    <col min="2599" max="2599" width="43.59765625" style="62" bestFit="1" customWidth="1"/>
    <col min="2600" max="2600" width="5.59765625" style="62" bestFit="1" customWidth="1"/>
    <col min="2601" max="2606" width="5.09765625" style="62" customWidth="1"/>
    <col min="2607" max="2610" width="8.59765625" style="62" customWidth="1"/>
    <col min="2611" max="2617" width="10" style="62" customWidth="1"/>
    <col min="2618" max="2629" width="9" style="62"/>
    <col min="2630" max="2630" width="10" style="62" customWidth="1"/>
    <col min="2631" max="2852" width="9" style="62"/>
    <col min="2853" max="2853" width="4.09765625" style="62" customWidth="1"/>
    <col min="2854" max="2854" width="6.69921875" style="62" customWidth="1"/>
    <col min="2855" max="2855" width="43.59765625" style="62" bestFit="1" customWidth="1"/>
    <col min="2856" max="2856" width="5.59765625" style="62" bestFit="1" customWidth="1"/>
    <col min="2857" max="2862" width="5.09765625" style="62" customWidth="1"/>
    <col min="2863" max="2866" width="8.59765625" style="62" customWidth="1"/>
    <col min="2867" max="2873" width="10" style="62" customWidth="1"/>
    <col min="2874" max="2885" width="9" style="62"/>
    <col min="2886" max="2886" width="10" style="62" customWidth="1"/>
    <col min="2887" max="3108" width="9" style="62"/>
    <col min="3109" max="3109" width="4.09765625" style="62" customWidth="1"/>
    <col min="3110" max="3110" width="6.69921875" style="62" customWidth="1"/>
    <col min="3111" max="3111" width="43.59765625" style="62" bestFit="1" customWidth="1"/>
    <col min="3112" max="3112" width="5.59765625" style="62" bestFit="1" customWidth="1"/>
    <col min="3113" max="3118" width="5.09765625" style="62" customWidth="1"/>
    <col min="3119" max="3122" width="8.59765625" style="62" customWidth="1"/>
    <col min="3123" max="3129" width="10" style="62" customWidth="1"/>
    <col min="3130" max="3141" width="9" style="62"/>
    <col min="3142" max="3142" width="10" style="62" customWidth="1"/>
    <col min="3143" max="3364" width="9" style="62"/>
    <col min="3365" max="3365" width="4.09765625" style="62" customWidth="1"/>
    <col min="3366" max="3366" width="6.69921875" style="62" customWidth="1"/>
    <col min="3367" max="3367" width="43.59765625" style="62" bestFit="1" customWidth="1"/>
    <col min="3368" max="3368" width="5.59765625" style="62" bestFit="1" customWidth="1"/>
    <col min="3369" max="3374" width="5.09765625" style="62" customWidth="1"/>
    <col min="3375" max="3378" width="8.59765625" style="62" customWidth="1"/>
    <col min="3379" max="3385" width="10" style="62" customWidth="1"/>
    <col min="3386" max="3397" width="9" style="62"/>
    <col min="3398" max="3398" width="10" style="62" customWidth="1"/>
    <col min="3399" max="3620" width="9" style="62"/>
    <col min="3621" max="3621" width="4.09765625" style="62" customWidth="1"/>
    <col min="3622" max="3622" width="6.69921875" style="62" customWidth="1"/>
    <col min="3623" max="3623" width="43.59765625" style="62" bestFit="1" customWidth="1"/>
    <col min="3624" max="3624" width="5.59765625" style="62" bestFit="1" customWidth="1"/>
    <col min="3625" max="3630" width="5.09765625" style="62" customWidth="1"/>
    <col min="3631" max="3634" width="8.59765625" style="62" customWidth="1"/>
    <col min="3635" max="3641" width="10" style="62" customWidth="1"/>
    <col min="3642" max="3653" width="9" style="62"/>
    <col min="3654" max="3654" width="10" style="62" customWidth="1"/>
    <col min="3655" max="3876" width="9" style="62"/>
    <col min="3877" max="3877" width="4.09765625" style="62" customWidth="1"/>
    <col min="3878" max="3878" width="6.69921875" style="62" customWidth="1"/>
    <col min="3879" max="3879" width="43.59765625" style="62" bestFit="1" customWidth="1"/>
    <col min="3880" max="3880" width="5.59765625" style="62" bestFit="1" customWidth="1"/>
    <col min="3881" max="3886" width="5.09765625" style="62" customWidth="1"/>
    <col min="3887" max="3890" width="8.59765625" style="62" customWidth="1"/>
    <col min="3891" max="3897" width="10" style="62" customWidth="1"/>
    <col min="3898" max="3909" width="9" style="62"/>
    <col min="3910" max="3910" width="10" style="62" customWidth="1"/>
    <col min="3911" max="4132" width="9" style="62"/>
    <col min="4133" max="4133" width="4.09765625" style="62" customWidth="1"/>
    <col min="4134" max="4134" width="6.69921875" style="62" customWidth="1"/>
    <col min="4135" max="4135" width="43.59765625" style="62" bestFit="1" customWidth="1"/>
    <col min="4136" max="4136" width="5.59765625" style="62" bestFit="1" customWidth="1"/>
    <col min="4137" max="4142" width="5.09765625" style="62" customWidth="1"/>
    <col min="4143" max="4146" width="8.59765625" style="62" customWidth="1"/>
    <col min="4147" max="4153" width="10" style="62" customWidth="1"/>
    <col min="4154" max="4165" width="9" style="62"/>
    <col min="4166" max="4166" width="10" style="62" customWidth="1"/>
    <col min="4167" max="4388" width="9" style="62"/>
    <col min="4389" max="4389" width="4.09765625" style="62" customWidth="1"/>
    <col min="4390" max="4390" width="6.69921875" style="62" customWidth="1"/>
    <col min="4391" max="4391" width="43.59765625" style="62" bestFit="1" customWidth="1"/>
    <col min="4392" max="4392" width="5.59765625" style="62" bestFit="1" customWidth="1"/>
    <col min="4393" max="4398" width="5.09765625" style="62" customWidth="1"/>
    <col min="4399" max="4402" width="8.59765625" style="62" customWidth="1"/>
    <col min="4403" max="4409" width="10" style="62" customWidth="1"/>
    <col min="4410" max="4421" width="9" style="62"/>
    <col min="4422" max="4422" width="10" style="62" customWidth="1"/>
    <col min="4423" max="4644" width="9" style="62"/>
    <col min="4645" max="4645" width="4.09765625" style="62" customWidth="1"/>
    <col min="4646" max="4646" width="6.69921875" style="62" customWidth="1"/>
    <col min="4647" max="4647" width="43.59765625" style="62" bestFit="1" customWidth="1"/>
    <col min="4648" max="4648" width="5.59765625" style="62" bestFit="1" customWidth="1"/>
    <col min="4649" max="4654" width="5.09765625" style="62" customWidth="1"/>
    <col min="4655" max="4658" width="8.59765625" style="62" customWidth="1"/>
    <col min="4659" max="4665" width="10" style="62" customWidth="1"/>
    <col min="4666" max="4677" width="9" style="62"/>
    <col min="4678" max="4678" width="10" style="62" customWidth="1"/>
    <col min="4679" max="4900" width="9" style="62"/>
    <col min="4901" max="4901" width="4.09765625" style="62" customWidth="1"/>
    <col min="4902" max="4902" width="6.69921875" style="62" customWidth="1"/>
    <col min="4903" max="4903" width="43.59765625" style="62" bestFit="1" customWidth="1"/>
    <col min="4904" max="4904" width="5.59765625" style="62" bestFit="1" customWidth="1"/>
    <col min="4905" max="4910" width="5.09765625" style="62" customWidth="1"/>
    <col min="4911" max="4914" width="8.59765625" style="62" customWidth="1"/>
    <col min="4915" max="4921" width="10" style="62" customWidth="1"/>
    <col min="4922" max="4933" width="9" style="62"/>
    <col min="4934" max="4934" width="10" style="62" customWidth="1"/>
    <col min="4935" max="5156" width="9" style="62"/>
    <col min="5157" max="5157" width="4.09765625" style="62" customWidth="1"/>
    <col min="5158" max="5158" width="6.69921875" style="62" customWidth="1"/>
    <col min="5159" max="5159" width="43.59765625" style="62" bestFit="1" customWidth="1"/>
    <col min="5160" max="5160" width="5.59765625" style="62" bestFit="1" customWidth="1"/>
    <col min="5161" max="5166" width="5.09765625" style="62" customWidth="1"/>
    <col min="5167" max="5170" width="8.59765625" style="62" customWidth="1"/>
    <col min="5171" max="5177" width="10" style="62" customWidth="1"/>
    <col min="5178" max="5189" width="9" style="62"/>
    <col min="5190" max="5190" width="10" style="62" customWidth="1"/>
    <col min="5191" max="5412" width="9" style="62"/>
    <col min="5413" max="5413" width="4.09765625" style="62" customWidth="1"/>
    <col min="5414" max="5414" width="6.69921875" style="62" customWidth="1"/>
    <col min="5415" max="5415" width="43.59765625" style="62" bestFit="1" customWidth="1"/>
    <col min="5416" max="5416" width="5.59765625" style="62" bestFit="1" customWidth="1"/>
    <col min="5417" max="5422" width="5.09765625" style="62" customWidth="1"/>
    <col min="5423" max="5426" width="8.59765625" style="62" customWidth="1"/>
    <col min="5427" max="5433" width="10" style="62" customWidth="1"/>
    <col min="5434" max="5445" width="9" style="62"/>
    <col min="5446" max="5446" width="10" style="62" customWidth="1"/>
    <col min="5447" max="5668" width="9" style="62"/>
    <col min="5669" max="5669" width="4.09765625" style="62" customWidth="1"/>
    <col min="5670" max="5670" width="6.69921875" style="62" customWidth="1"/>
    <col min="5671" max="5671" width="43.59765625" style="62" bestFit="1" customWidth="1"/>
    <col min="5672" max="5672" width="5.59765625" style="62" bestFit="1" customWidth="1"/>
    <col min="5673" max="5678" width="5.09765625" style="62" customWidth="1"/>
    <col min="5679" max="5682" width="8.59765625" style="62" customWidth="1"/>
    <col min="5683" max="5689" width="10" style="62" customWidth="1"/>
    <col min="5690" max="5701" width="9" style="62"/>
    <col min="5702" max="5702" width="10" style="62" customWidth="1"/>
    <col min="5703" max="5924" width="9" style="62"/>
    <col min="5925" max="5925" width="4.09765625" style="62" customWidth="1"/>
    <col min="5926" max="5926" width="6.69921875" style="62" customWidth="1"/>
    <col min="5927" max="5927" width="43.59765625" style="62" bestFit="1" customWidth="1"/>
    <col min="5928" max="5928" width="5.59765625" style="62" bestFit="1" customWidth="1"/>
    <col min="5929" max="5934" width="5.09765625" style="62" customWidth="1"/>
    <col min="5935" max="5938" width="8.59765625" style="62" customWidth="1"/>
    <col min="5939" max="5945" width="10" style="62" customWidth="1"/>
    <col min="5946" max="5957" width="9" style="62"/>
    <col min="5958" max="5958" width="10" style="62" customWidth="1"/>
    <col min="5959" max="6180" width="9" style="62"/>
    <col min="6181" max="6181" width="4.09765625" style="62" customWidth="1"/>
    <col min="6182" max="6182" width="6.69921875" style="62" customWidth="1"/>
    <col min="6183" max="6183" width="43.59765625" style="62" bestFit="1" customWidth="1"/>
    <col min="6184" max="6184" width="5.59765625" style="62" bestFit="1" customWidth="1"/>
    <col min="6185" max="6190" width="5.09765625" style="62" customWidth="1"/>
    <col min="6191" max="6194" width="8.59765625" style="62" customWidth="1"/>
    <col min="6195" max="6201" width="10" style="62" customWidth="1"/>
    <col min="6202" max="6213" width="9" style="62"/>
    <col min="6214" max="6214" width="10" style="62" customWidth="1"/>
    <col min="6215" max="6436" width="9" style="62"/>
    <col min="6437" max="6437" width="4.09765625" style="62" customWidth="1"/>
    <col min="6438" max="6438" width="6.69921875" style="62" customWidth="1"/>
    <col min="6439" max="6439" width="43.59765625" style="62" bestFit="1" customWidth="1"/>
    <col min="6440" max="6440" width="5.59765625" style="62" bestFit="1" customWidth="1"/>
    <col min="6441" max="6446" width="5.09765625" style="62" customWidth="1"/>
    <col min="6447" max="6450" width="8.59765625" style="62" customWidth="1"/>
    <col min="6451" max="6457" width="10" style="62" customWidth="1"/>
    <col min="6458" max="6469" width="9" style="62"/>
    <col min="6470" max="6470" width="10" style="62" customWidth="1"/>
    <col min="6471" max="6692" width="9" style="62"/>
    <col min="6693" max="6693" width="4.09765625" style="62" customWidth="1"/>
    <col min="6694" max="6694" width="6.69921875" style="62" customWidth="1"/>
    <col min="6695" max="6695" width="43.59765625" style="62" bestFit="1" customWidth="1"/>
    <col min="6696" max="6696" width="5.59765625" style="62" bestFit="1" customWidth="1"/>
    <col min="6697" max="6702" width="5.09765625" style="62" customWidth="1"/>
    <col min="6703" max="6706" width="8.59765625" style="62" customWidth="1"/>
    <col min="6707" max="6713" width="10" style="62" customWidth="1"/>
    <col min="6714" max="6725" width="9" style="62"/>
    <col min="6726" max="6726" width="10" style="62" customWidth="1"/>
    <col min="6727" max="6948" width="9" style="62"/>
    <col min="6949" max="6949" width="4.09765625" style="62" customWidth="1"/>
    <col min="6950" max="6950" width="6.69921875" style="62" customWidth="1"/>
    <col min="6951" max="6951" width="43.59765625" style="62" bestFit="1" customWidth="1"/>
    <col min="6952" max="6952" width="5.59765625" style="62" bestFit="1" customWidth="1"/>
    <col min="6953" max="6958" width="5.09765625" style="62" customWidth="1"/>
    <col min="6959" max="6962" width="8.59765625" style="62" customWidth="1"/>
    <col min="6963" max="6969" width="10" style="62" customWidth="1"/>
    <col min="6970" max="6981" width="9" style="62"/>
    <col min="6982" max="6982" width="10" style="62" customWidth="1"/>
    <col min="6983" max="7204" width="9" style="62"/>
    <col min="7205" max="7205" width="4.09765625" style="62" customWidth="1"/>
    <col min="7206" max="7206" width="6.69921875" style="62" customWidth="1"/>
    <col min="7207" max="7207" width="43.59765625" style="62" bestFit="1" customWidth="1"/>
    <col min="7208" max="7208" width="5.59765625" style="62" bestFit="1" customWidth="1"/>
    <col min="7209" max="7214" width="5.09765625" style="62" customWidth="1"/>
    <col min="7215" max="7218" width="8.59765625" style="62" customWidth="1"/>
    <col min="7219" max="7225" width="10" style="62" customWidth="1"/>
    <col min="7226" max="7237" width="9" style="62"/>
    <col min="7238" max="7238" width="10" style="62" customWidth="1"/>
    <col min="7239" max="7460" width="9" style="62"/>
    <col min="7461" max="7461" width="4.09765625" style="62" customWidth="1"/>
    <col min="7462" max="7462" width="6.69921875" style="62" customWidth="1"/>
    <col min="7463" max="7463" width="43.59765625" style="62" bestFit="1" customWidth="1"/>
    <col min="7464" max="7464" width="5.59765625" style="62" bestFit="1" customWidth="1"/>
    <col min="7465" max="7470" width="5.09765625" style="62" customWidth="1"/>
    <col min="7471" max="7474" width="8.59765625" style="62" customWidth="1"/>
    <col min="7475" max="7481" width="10" style="62" customWidth="1"/>
    <col min="7482" max="7493" width="9" style="62"/>
    <col min="7494" max="7494" width="10" style="62" customWidth="1"/>
    <col min="7495" max="7716" width="9" style="62"/>
    <col min="7717" max="7717" width="4.09765625" style="62" customWidth="1"/>
    <col min="7718" max="7718" width="6.69921875" style="62" customWidth="1"/>
    <col min="7719" max="7719" width="43.59765625" style="62" bestFit="1" customWidth="1"/>
    <col min="7720" max="7720" width="5.59765625" style="62" bestFit="1" customWidth="1"/>
    <col min="7721" max="7726" width="5.09765625" style="62" customWidth="1"/>
    <col min="7727" max="7730" width="8.59765625" style="62" customWidth="1"/>
    <col min="7731" max="7737" width="10" style="62" customWidth="1"/>
    <col min="7738" max="7749" width="9" style="62"/>
    <col min="7750" max="7750" width="10" style="62" customWidth="1"/>
    <col min="7751" max="7972" width="9" style="62"/>
    <col min="7973" max="7973" width="4.09765625" style="62" customWidth="1"/>
    <col min="7974" max="7974" width="6.69921875" style="62" customWidth="1"/>
    <col min="7975" max="7975" width="43.59765625" style="62" bestFit="1" customWidth="1"/>
    <col min="7976" max="7976" width="5.59765625" style="62" bestFit="1" customWidth="1"/>
    <col min="7977" max="7982" width="5.09765625" style="62" customWidth="1"/>
    <col min="7983" max="7986" width="8.59765625" style="62" customWidth="1"/>
    <col min="7987" max="7993" width="10" style="62" customWidth="1"/>
    <col min="7994" max="8005" width="9" style="62"/>
    <col min="8006" max="8006" width="10" style="62" customWidth="1"/>
    <col min="8007" max="8228" width="9" style="62"/>
    <col min="8229" max="8229" width="4.09765625" style="62" customWidth="1"/>
    <col min="8230" max="8230" width="6.69921875" style="62" customWidth="1"/>
    <col min="8231" max="8231" width="43.59765625" style="62" bestFit="1" customWidth="1"/>
    <col min="8232" max="8232" width="5.59765625" style="62" bestFit="1" customWidth="1"/>
    <col min="8233" max="8238" width="5.09765625" style="62" customWidth="1"/>
    <col min="8239" max="8242" width="8.59765625" style="62" customWidth="1"/>
    <col min="8243" max="8249" width="10" style="62" customWidth="1"/>
    <col min="8250" max="8261" width="9" style="62"/>
    <col min="8262" max="8262" width="10" style="62" customWidth="1"/>
    <col min="8263" max="8484" width="9" style="62"/>
    <col min="8485" max="8485" width="4.09765625" style="62" customWidth="1"/>
    <col min="8486" max="8486" width="6.69921875" style="62" customWidth="1"/>
    <col min="8487" max="8487" width="43.59765625" style="62" bestFit="1" customWidth="1"/>
    <col min="8488" max="8488" width="5.59765625" style="62" bestFit="1" customWidth="1"/>
    <col min="8489" max="8494" width="5.09765625" style="62" customWidth="1"/>
    <col min="8495" max="8498" width="8.59765625" style="62" customWidth="1"/>
    <col min="8499" max="8505" width="10" style="62" customWidth="1"/>
    <col min="8506" max="8517" width="9" style="62"/>
    <col min="8518" max="8518" width="10" style="62" customWidth="1"/>
    <col min="8519" max="8740" width="9" style="62"/>
    <col min="8741" max="8741" width="4.09765625" style="62" customWidth="1"/>
    <col min="8742" max="8742" width="6.69921875" style="62" customWidth="1"/>
    <col min="8743" max="8743" width="43.59765625" style="62" bestFit="1" customWidth="1"/>
    <col min="8744" max="8744" width="5.59765625" style="62" bestFit="1" customWidth="1"/>
    <col min="8745" max="8750" width="5.09765625" style="62" customWidth="1"/>
    <col min="8751" max="8754" width="8.59765625" style="62" customWidth="1"/>
    <col min="8755" max="8761" width="10" style="62" customWidth="1"/>
    <col min="8762" max="8773" width="9" style="62"/>
    <col min="8774" max="8774" width="10" style="62" customWidth="1"/>
    <col min="8775" max="8996" width="9" style="62"/>
    <col min="8997" max="8997" width="4.09765625" style="62" customWidth="1"/>
    <col min="8998" max="8998" width="6.69921875" style="62" customWidth="1"/>
    <col min="8999" max="8999" width="43.59765625" style="62" bestFit="1" customWidth="1"/>
    <col min="9000" max="9000" width="5.59765625" style="62" bestFit="1" customWidth="1"/>
    <col min="9001" max="9006" width="5.09765625" style="62" customWidth="1"/>
    <col min="9007" max="9010" width="8.59765625" style="62" customWidth="1"/>
    <col min="9011" max="9017" width="10" style="62" customWidth="1"/>
    <col min="9018" max="9029" width="9" style="62"/>
    <col min="9030" max="9030" width="10" style="62" customWidth="1"/>
    <col min="9031" max="9252" width="9" style="62"/>
    <col min="9253" max="9253" width="4.09765625" style="62" customWidth="1"/>
    <col min="9254" max="9254" width="6.69921875" style="62" customWidth="1"/>
    <col min="9255" max="9255" width="43.59765625" style="62" bestFit="1" customWidth="1"/>
    <col min="9256" max="9256" width="5.59765625" style="62" bestFit="1" customWidth="1"/>
    <col min="9257" max="9262" width="5.09765625" style="62" customWidth="1"/>
    <col min="9263" max="9266" width="8.59765625" style="62" customWidth="1"/>
    <col min="9267" max="9273" width="10" style="62" customWidth="1"/>
    <col min="9274" max="9285" width="9" style="62"/>
    <col min="9286" max="9286" width="10" style="62" customWidth="1"/>
    <col min="9287" max="9508" width="9" style="62"/>
    <col min="9509" max="9509" width="4.09765625" style="62" customWidth="1"/>
    <col min="9510" max="9510" width="6.69921875" style="62" customWidth="1"/>
    <col min="9511" max="9511" width="43.59765625" style="62" bestFit="1" customWidth="1"/>
    <col min="9512" max="9512" width="5.59765625" style="62" bestFit="1" customWidth="1"/>
    <col min="9513" max="9518" width="5.09765625" style="62" customWidth="1"/>
    <col min="9519" max="9522" width="8.59765625" style="62" customWidth="1"/>
    <col min="9523" max="9529" width="10" style="62" customWidth="1"/>
    <col min="9530" max="9541" width="9" style="62"/>
    <col min="9542" max="9542" width="10" style="62" customWidth="1"/>
    <col min="9543" max="9764" width="9" style="62"/>
    <col min="9765" max="9765" width="4.09765625" style="62" customWidth="1"/>
    <col min="9766" max="9766" width="6.69921875" style="62" customWidth="1"/>
    <col min="9767" max="9767" width="43.59765625" style="62" bestFit="1" customWidth="1"/>
    <col min="9768" max="9768" width="5.59765625" style="62" bestFit="1" customWidth="1"/>
    <col min="9769" max="9774" width="5.09765625" style="62" customWidth="1"/>
    <col min="9775" max="9778" width="8.59765625" style="62" customWidth="1"/>
    <col min="9779" max="9785" width="10" style="62" customWidth="1"/>
    <col min="9786" max="9797" width="9" style="62"/>
    <col min="9798" max="9798" width="10" style="62" customWidth="1"/>
    <col min="9799" max="10020" width="9" style="62"/>
    <col min="10021" max="10021" width="4.09765625" style="62" customWidth="1"/>
    <col min="10022" max="10022" width="6.69921875" style="62" customWidth="1"/>
    <col min="10023" max="10023" width="43.59765625" style="62" bestFit="1" customWidth="1"/>
    <col min="10024" max="10024" width="5.59765625" style="62" bestFit="1" customWidth="1"/>
    <col min="10025" max="10030" width="5.09765625" style="62" customWidth="1"/>
    <col min="10031" max="10034" width="8.59765625" style="62" customWidth="1"/>
    <col min="10035" max="10041" width="10" style="62" customWidth="1"/>
    <col min="10042" max="10053" width="9" style="62"/>
    <col min="10054" max="10054" width="10" style="62" customWidth="1"/>
    <col min="10055" max="10276" width="9" style="62"/>
    <col min="10277" max="10277" width="4.09765625" style="62" customWidth="1"/>
    <col min="10278" max="10278" width="6.69921875" style="62" customWidth="1"/>
    <col min="10279" max="10279" width="43.59765625" style="62" bestFit="1" customWidth="1"/>
    <col min="10280" max="10280" width="5.59765625" style="62" bestFit="1" customWidth="1"/>
    <col min="10281" max="10286" width="5.09765625" style="62" customWidth="1"/>
    <col min="10287" max="10290" width="8.59765625" style="62" customWidth="1"/>
    <col min="10291" max="10297" width="10" style="62" customWidth="1"/>
    <col min="10298" max="10309" width="9" style="62"/>
    <col min="10310" max="10310" width="10" style="62" customWidth="1"/>
    <col min="10311" max="10532" width="9" style="62"/>
    <col min="10533" max="10533" width="4.09765625" style="62" customWidth="1"/>
    <col min="10534" max="10534" width="6.69921875" style="62" customWidth="1"/>
    <col min="10535" max="10535" width="43.59765625" style="62" bestFit="1" customWidth="1"/>
    <col min="10536" max="10536" width="5.59765625" style="62" bestFit="1" customWidth="1"/>
    <col min="10537" max="10542" width="5.09765625" style="62" customWidth="1"/>
    <col min="10543" max="10546" width="8.59765625" style="62" customWidth="1"/>
    <col min="10547" max="10553" width="10" style="62" customWidth="1"/>
    <col min="10554" max="10565" width="9" style="62"/>
    <col min="10566" max="10566" width="10" style="62" customWidth="1"/>
    <col min="10567" max="10788" width="9" style="62"/>
    <col min="10789" max="10789" width="4.09765625" style="62" customWidth="1"/>
    <col min="10790" max="10790" width="6.69921875" style="62" customWidth="1"/>
    <col min="10791" max="10791" width="43.59765625" style="62" bestFit="1" customWidth="1"/>
    <col min="10792" max="10792" width="5.59765625" style="62" bestFit="1" customWidth="1"/>
    <col min="10793" max="10798" width="5.09765625" style="62" customWidth="1"/>
    <col min="10799" max="10802" width="8.59765625" style="62" customWidth="1"/>
    <col min="10803" max="10809" width="10" style="62" customWidth="1"/>
    <col min="10810" max="10821" width="9" style="62"/>
    <col min="10822" max="10822" width="10" style="62" customWidth="1"/>
    <col min="10823" max="11044" width="9" style="62"/>
    <col min="11045" max="11045" width="4.09765625" style="62" customWidth="1"/>
    <col min="11046" max="11046" width="6.69921875" style="62" customWidth="1"/>
    <col min="11047" max="11047" width="43.59765625" style="62" bestFit="1" customWidth="1"/>
    <col min="11048" max="11048" width="5.59765625" style="62" bestFit="1" customWidth="1"/>
    <col min="11049" max="11054" width="5.09765625" style="62" customWidth="1"/>
    <col min="11055" max="11058" width="8.59765625" style="62" customWidth="1"/>
    <col min="11059" max="11065" width="10" style="62" customWidth="1"/>
    <col min="11066" max="11077" width="9" style="62"/>
    <col min="11078" max="11078" width="10" style="62" customWidth="1"/>
    <col min="11079" max="11300" width="9" style="62"/>
    <col min="11301" max="11301" width="4.09765625" style="62" customWidth="1"/>
    <col min="11302" max="11302" width="6.69921875" style="62" customWidth="1"/>
    <col min="11303" max="11303" width="43.59765625" style="62" bestFit="1" customWidth="1"/>
    <col min="11304" max="11304" width="5.59765625" style="62" bestFit="1" customWidth="1"/>
    <col min="11305" max="11310" width="5.09765625" style="62" customWidth="1"/>
    <col min="11311" max="11314" width="8.59765625" style="62" customWidth="1"/>
    <col min="11315" max="11321" width="10" style="62" customWidth="1"/>
    <col min="11322" max="11333" width="9" style="62"/>
    <col min="11334" max="11334" width="10" style="62" customWidth="1"/>
    <col min="11335" max="11556" width="9" style="62"/>
    <col min="11557" max="11557" width="4.09765625" style="62" customWidth="1"/>
    <col min="11558" max="11558" width="6.69921875" style="62" customWidth="1"/>
    <col min="11559" max="11559" width="43.59765625" style="62" bestFit="1" customWidth="1"/>
    <col min="11560" max="11560" width="5.59765625" style="62" bestFit="1" customWidth="1"/>
    <col min="11561" max="11566" width="5.09765625" style="62" customWidth="1"/>
    <col min="11567" max="11570" width="8.59765625" style="62" customWidth="1"/>
    <col min="11571" max="11577" width="10" style="62" customWidth="1"/>
    <col min="11578" max="11589" width="9" style="62"/>
    <col min="11590" max="11590" width="10" style="62" customWidth="1"/>
    <col min="11591" max="11812" width="9" style="62"/>
    <col min="11813" max="11813" width="4.09765625" style="62" customWidth="1"/>
    <col min="11814" max="11814" width="6.69921875" style="62" customWidth="1"/>
    <col min="11815" max="11815" width="43.59765625" style="62" bestFit="1" customWidth="1"/>
    <col min="11816" max="11816" width="5.59765625" style="62" bestFit="1" customWidth="1"/>
    <col min="11817" max="11822" width="5.09765625" style="62" customWidth="1"/>
    <col min="11823" max="11826" width="8.59765625" style="62" customWidth="1"/>
    <col min="11827" max="11833" width="10" style="62" customWidth="1"/>
    <col min="11834" max="11845" width="9" style="62"/>
    <col min="11846" max="11846" width="10" style="62" customWidth="1"/>
    <col min="11847" max="12068" width="9" style="62"/>
    <col min="12069" max="12069" width="4.09765625" style="62" customWidth="1"/>
    <col min="12070" max="12070" width="6.69921875" style="62" customWidth="1"/>
    <col min="12071" max="12071" width="43.59765625" style="62" bestFit="1" customWidth="1"/>
    <col min="12072" max="12072" width="5.59765625" style="62" bestFit="1" customWidth="1"/>
    <col min="12073" max="12078" width="5.09765625" style="62" customWidth="1"/>
    <col min="12079" max="12082" width="8.59765625" style="62" customWidth="1"/>
    <col min="12083" max="12089" width="10" style="62" customWidth="1"/>
    <col min="12090" max="12101" width="9" style="62"/>
    <col min="12102" max="12102" width="10" style="62" customWidth="1"/>
    <col min="12103" max="12324" width="9" style="62"/>
    <col min="12325" max="12325" width="4.09765625" style="62" customWidth="1"/>
    <col min="12326" max="12326" width="6.69921875" style="62" customWidth="1"/>
    <col min="12327" max="12327" width="43.59765625" style="62" bestFit="1" customWidth="1"/>
    <col min="12328" max="12328" width="5.59765625" style="62" bestFit="1" customWidth="1"/>
    <col min="12329" max="12334" width="5.09765625" style="62" customWidth="1"/>
    <col min="12335" max="12338" width="8.59765625" style="62" customWidth="1"/>
    <col min="12339" max="12345" width="10" style="62" customWidth="1"/>
    <col min="12346" max="12357" width="9" style="62"/>
    <col min="12358" max="12358" width="10" style="62" customWidth="1"/>
    <col min="12359" max="12580" width="9" style="62"/>
    <col min="12581" max="12581" width="4.09765625" style="62" customWidth="1"/>
    <col min="12582" max="12582" width="6.69921875" style="62" customWidth="1"/>
    <col min="12583" max="12583" width="43.59765625" style="62" bestFit="1" customWidth="1"/>
    <col min="12584" max="12584" width="5.59765625" style="62" bestFit="1" customWidth="1"/>
    <col min="12585" max="12590" width="5.09765625" style="62" customWidth="1"/>
    <col min="12591" max="12594" width="8.59765625" style="62" customWidth="1"/>
    <col min="12595" max="12601" width="10" style="62" customWidth="1"/>
    <col min="12602" max="12613" width="9" style="62"/>
    <col min="12614" max="12614" width="10" style="62" customWidth="1"/>
    <col min="12615" max="12836" width="9" style="62"/>
    <col min="12837" max="12837" width="4.09765625" style="62" customWidth="1"/>
    <col min="12838" max="12838" width="6.69921875" style="62" customWidth="1"/>
    <col min="12839" max="12839" width="43.59765625" style="62" bestFit="1" customWidth="1"/>
    <col min="12840" max="12840" width="5.59765625" style="62" bestFit="1" customWidth="1"/>
    <col min="12841" max="12846" width="5.09765625" style="62" customWidth="1"/>
    <col min="12847" max="12850" width="8.59765625" style="62" customWidth="1"/>
    <col min="12851" max="12857" width="10" style="62" customWidth="1"/>
    <col min="12858" max="12869" width="9" style="62"/>
    <col min="12870" max="12870" width="10" style="62" customWidth="1"/>
    <col min="12871" max="13092" width="9" style="62"/>
    <col min="13093" max="13093" width="4.09765625" style="62" customWidth="1"/>
    <col min="13094" max="13094" width="6.69921875" style="62" customWidth="1"/>
    <col min="13095" max="13095" width="43.59765625" style="62" bestFit="1" customWidth="1"/>
    <col min="13096" max="13096" width="5.59765625" style="62" bestFit="1" customWidth="1"/>
    <col min="13097" max="13102" width="5.09765625" style="62" customWidth="1"/>
    <col min="13103" max="13106" width="8.59765625" style="62" customWidth="1"/>
    <col min="13107" max="13113" width="10" style="62" customWidth="1"/>
    <col min="13114" max="13125" width="9" style="62"/>
    <col min="13126" max="13126" width="10" style="62" customWidth="1"/>
    <col min="13127" max="13348" width="9" style="62"/>
    <col min="13349" max="13349" width="4.09765625" style="62" customWidth="1"/>
    <col min="13350" max="13350" width="6.69921875" style="62" customWidth="1"/>
    <col min="13351" max="13351" width="43.59765625" style="62" bestFit="1" customWidth="1"/>
    <col min="13352" max="13352" width="5.59765625" style="62" bestFit="1" customWidth="1"/>
    <col min="13353" max="13358" width="5.09765625" style="62" customWidth="1"/>
    <col min="13359" max="13362" width="8.59765625" style="62" customWidth="1"/>
    <col min="13363" max="13369" width="10" style="62" customWidth="1"/>
    <col min="13370" max="13381" width="9" style="62"/>
    <col min="13382" max="13382" width="10" style="62" customWidth="1"/>
    <col min="13383" max="13604" width="9" style="62"/>
    <col min="13605" max="13605" width="4.09765625" style="62" customWidth="1"/>
    <col min="13606" max="13606" width="6.69921875" style="62" customWidth="1"/>
    <col min="13607" max="13607" width="43.59765625" style="62" bestFit="1" customWidth="1"/>
    <col min="13608" max="13608" width="5.59765625" style="62" bestFit="1" customWidth="1"/>
    <col min="13609" max="13614" width="5.09765625" style="62" customWidth="1"/>
    <col min="13615" max="13618" width="8.59765625" style="62" customWidth="1"/>
    <col min="13619" max="13625" width="10" style="62" customWidth="1"/>
    <col min="13626" max="13637" width="9" style="62"/>
    <col min="13638" max="13638" width="10" style="62" customWidth="1"/>
    <col min="13639" max="13860" width="9" style="62"/>
    <col min="13861" max="13861" width="4.09765625" style="62" customWidth="1"/>
    <col min="13862" max="13862" width="6.69921875" style="62" customWidth="1"/>
    <col min="13863" max="13863" width="43.59765625" style="62" bestFit="1" customWidth="1"/>
    <col min="13864" max="13864" width="5.59765625" style="62" bestFit="1" customWidth="1"/>
    <col min="13865" max="13870" width="5.09765625" style="62" customWidth="1"/>
    <col min="13871" max="13874" width="8.59765625" style="62" customWidth="1"/>
    <col min="13875" max="13881" width="10" style="62" customWidth="1"/>
    <col min="13882" max="13893" width="9" style="62"/>
    <col min="13894" max="13894" width="10" style="62" customWidth="1"/>
    <col min="13895" max="14116" width="9" style="62"/>
    <col min="14117" max="14117" width="4.09765625" style="62" customWidth="1"/>
    <col min="14118" max="14118" width="6.69921875" style="62" customWidth="1"/>
    <col min="14119" max="14119" width="43.59765625" style="62" bestFit="1" customWidth="1"/>
    <col min="14120" max="14120" width="5.59765625" style="62" bestFit="1" customWidth="1"/>
    <col min="14121" max="14126" width="5.09765625" style="62" customWidth="1"/>
    <col min="14127" max="14130" width="8.59765625" style="62" customWidth="1"/>
    <col min="14131" max="14137" width="10" style="62" customWidth="1"/>
    <col min="14138" max="14149" width="9" style="62"/>
    <col min="14150" max="14150" width="10" style="62" customWidth="1"/>
    <col min="14151" max="14372" width="9" style="62"/>
    <col min="14373" max="14373" width="4.09765625" style="62" customWidth="1"/>
    <col min="14374" max="14374" width="6.69921875" style="62" customWidth="1"/>
    <col min="14375" max="14375" width="43.59765625" style="62" bestFit="1" customWidth="1"/>
    <col min="14376" max="14376" width="5.59765625" style="62" bestFit="1" customWidth="1"/>
    <col min="14377" max="14382" width="5.09765625" style="62" customWidth="1"/>
    <col min="14383" max="14386" width="8.59765625" style="62" customWidth="1"/>
    <col min="14387" max="14393" width="10" style="62" customWidth="1"/>
    <col min="14394" max="14405" width="9" style="62"/>
    <col min="14406" max="14406" width="10" style="62" customWidth="1"/>
    <col min="14407" max="14628" width="9" style="62"/>
    <col min="14629" max="14629" width="4.09765625" style="62" customWidth="1"/>
    <col min="14630" max="14630" width="6.69921875" style="62" customWidth="1"/>
    <col min="14631" max="14631" width="43.59765625" style="62" bestFit="1" customWidth="1"/>
    <col min="14632" max="14632" width="5.59765625" style="62" bestFit="1" customWidth="1"/>
    <col min="14633" max="14638" width="5.09765625" style="62" customWidth="1"/>
    <col min="14639" max="14642" width="8.59765625" style="62" customWidth="1"/>
    <col min="14643" max="14649" width="10" style="62" customWidth="1"/>
    <col min="14650" max="14661" width="9" style="62"/>
    <col min="14662" max="14662" width="10" style="62" customWidth="1"/>
    <col min="14663" max="14884" width="9" style="62"/>
    <col min="14885" max="14885" width="4.09765625" style="62" customWidth="1"/>
    <col min="14886" max="14886" width="6.69921875" style="62" customWidth="1"/>
    <col min="14887" max="14887" width="43.59765625" style="62" bestFit="1" customWidth="1"/>
    <col min="14888" max="14888" width="5.59765625" style="62" bestFit="1" customWidth="1"/>
    <col min="14889" max="14894" width="5.09765625" style="62" customWidth="1"/>
    <col min="14895" max="14898" width="8.59765625" style="62" customWidth="1"/>
    <col min="14899" max="14905" width="10" style="62" customWidth="1"/>
    <col min="14906" max="14917" width="9" style="62"/>
    <col min="14918" max="14918" width="10" style="62" customWidth="1"/>
    <col min="14919" max="15140" width="9" style="62"/>
    <col min="15141" max="15141" width="4.09765625" style="62" customWidth="1"/>
    <col min="15142" max="15142" width="6.69921875" style="62" customWidth="1"/>
    <col min="15143" max="15143" width="43.59765625" style="62" bestFit="1" customWidth="1"/>
    <col min="15144" max="15144" width="5.59765625" style="62" bestFit="1" customWidth="1"/>
    <col min="15145" max="15150" width="5.09765625" style="62" customWidth="1"/>
    <col min="15151" max="15154" width="8.59765625" style="62" customWidth="1"/>
    <col min="15155" max="15161" width="10" style="62" customWidth="1"/>
    <col min="15162" max="15173" width="9" style="62"/>
    <col min="15174" max="15174" width="10" style="62" customWidth="1"/>
    <col min="15175" max="15361" width="9" style="62"/>
    <col min="15362" max="16318" width="9" style="62" customWidth="1"/>
    <col min="16319" max="16362" width="9" style="62"/>
    <col min="16363" max="16384" width="9" style="62" customWidth="1"/>
  </cols>
  <sheetData>
    <row r="1" spans="1:29" s="44" customFormat="1" ht="14.4">
      <c r="A1" s="7" t="s">
        <v>37</v>
      </c>
      <c r="B1" s="7"/>
      <c r="E1" s="46"/>
      <c r="F1" s="45"/>
      <c r="G1" s="46"/>
      <c r="I1" s="47"/>
      <c r="K1" s="48"/>
      <c r="L1" s="48"/>
      <c r="M1" s="48"/>
      <c r="N1" s="48"/>
      <c r="O1" s="48"/>
      <c r="P1" s="48"/>
      <c r="Q1" s="48"/>
      <c r="R1" s="48"/>
      <c r="S1" s="48"/>
      <c r="T1" s="48"/>
      <c r="U1" s="48"/>
      <c r="V1" s="48"/>
      <c r="W1" s="48"/>
      <c r="X1" s="48"/>
      <c r="Y1" s="48"/>
      <c r="Z1" s="48"/>
      <c r="AA1" s="48"/>
      <c r="AB1" s="48"/>
      <c r="AC1" s="48"/>
    </row>
    <row r="2" spans="1:29" s="44" customFormat="1">
      <c r="A2" s="48"/>
      <c r="B2" s="48"/>
      <c r="D2" s="46"/>
      <c r="E2" s="45"/>
      <c r="F2" s="45"/>
      <c r="G2" s="46"/>
      <c r="H2" s="48"/>
      <c r="I2" s="48"/>
      <c r="K2" s="48"/>
      <c r="L2" s="128"/>
      <c r="M2" s="128"/>
      <c r="N2" s="128"/>
      <c r="O2" s="128"/>
      <c r="P2" s="128"/>
      <c r="Q2" s="128"/>
      <c r="R2" s="128"/>
      <c r="S2" s="128"/>
      <c r="T2" s="128"/>
      <c r="U2" s="128"/>
      <c r="V2" s="128"/>
      <c r="W2" s="128"/>
      <c r="X2" s="128"/>
      <c r="Y2" s="128"/>
      <c r="Z2" s="128"/>
      <c r="AA2" s="128"/>
      <c r="AB2" s="128"/>
      <c r="AC2" s="128"/>
    </row>
    <row r="3" spans="1:29" s="50" customFormat="1">
      <c r="A3" s="176" t="str">
        <f>ChkList!A4</f>
        <v>분류</v>
      </c>
      <c r="B3" s="176"/>
      <c r="C3" s="176"/>
      <c r="D3" s="177" t="str">
        <f>ChkList!C4</f>
        <v>점검항목</v>
      </c>
      <c r="E3" s="177" t="str">
        <f>ChkList!D4</f>
        <v>중요도</v>
      </c>
      <c r="F3" s="179" t="s">
        <v>210</v>
      </c>
      <c r="G3" s="180"/>
      <c r="H3" s="180"/>
      <c r="I3" s="181"/>
      <c r="J3" s="179" t="s">
        <v>38</v>
      </c>
      <c r="K3" s="181"/>
      <c r="L3" s="49" t="s">
        <v>211</v>
      </c>
      <c r="M3" s="49" t="s">
        <v>211</v>
      </c>
      <c r="N3" s="49" t="s">
        <v>211</v>
      </c>
      <c r="O3" s="49" t="s">
        <v>211</v>
      </c>
      <c r="P3" s="49" t="s">
        <v>211</v>
      </c>
      <c r="Q3" s="49" t="s">
        <v>211</v>
      </c>
      <c r="R3" s="49" t="s">
        <v>211</v>
      </c>
      <c r="S3" s="49" t="s">
        <v>211</v>
      </c>
      <c r="T3" s="49" t="s">
        <v>211</v>
      </c>
      <c r="U3" s="49" t="s">
        <v>211</v>
      </c>
      <c r="V3" s="49" t="s">
        <v>211</v>
      </c>
      <c r="W3" s="49" t="s">
        <v>211</v>
      </c>
      <c r="X3" s="49" t="s">
        <v>211</v>
      </c>
      <c r="Y3" s="49" t="s">
        <v>211</v>
      </c>
      <c r="Z3" s="49" t="s">
        <v>211</v>
      </c>
      <c r="AA3" s="49" t="s">
        <v>211</v>
      </c>
      <c r="AB3" s="49" t="s">
        <v>211</v>
      </c>
      <c r="AC3" s="49" t="s">
        <v>211</v>
      </c>
    </row>
    <row r="4" spans="1:29" s="50" customFormat="1">
      <c r="A4" s="176"/>
      <c r="B4" s="176"/>
      <c r="C4" s="176"/>
      <c r="D4" s="178"/>
      <c r="E4" s="178"/>
      <c r="F4" s="51" t="s">
        <v>39</v>
      </c>
      <c r="G4" s="51" t="s">
        <v>40</v>
      </c>
      <c r="H4" s="51" t="s">
        <v>28</v>
      </c>
      <c r="I4" s="51" t="s">
        <v>29</v>
      </c>
      <c r="J4" s="51" t="s">
        <v>39</v>
      </c>
      <c r="K4" s="51" t="s">
        <v>41</v>
      </c>
      <c r="L4" s="144" t="str">
        <f ca="1">HYPERLINK("[" &amp; MID(CELL("filename"),SEARCH("[",CELL("filename"))+1, SEARCH("]",CELL("filename"))-SEARCH("[",CELL("filename"))-1) &amp; "]" &amp; INDIRECT(ADDRESS(COLUMN()-7,1,1,TRUE,"자산목록")) &amp; "!A1",INDIRECT(ADDRESS(COLUMN()-7,1,1,TRUE,"자산목록")))</f>
        <v>U_001</v>
      </c>
      <c r="M4" s="144" t="str">
        <f t="shared" ref="M4:AC4" ca="1" si="0">HYPERLINK("[" &amp; MID(CELL("filename"),SEARCH("[",CELL("filename"))+1, SEARCH("]",CELL("filename"))-SEARCH("[",CELL("filename"))-1) &amp; "]" &amp; INDIRECT(ADDRESS(COLUMN()-7,1,1,TRUE,"자산목록")) &amp; "!A1",INDIRECT(ADDRESS(COLUMN()-7,1,1,TRUE,"자산목록")))</f>
        <v>U_002</v>
      </c>
      <c r="N4" s="144" t="str">
        <f t="shared" ca="1" si="0"/>
        <v>U_003</v>
      </c>
      <c r="O4" s="144" t="str">
        <f t="shared" ca="1" si="0"/>
        <v>U_004</v>
      </c>
      <c r="P4" s="144" t="str">
        <f t="shared" ca="1" si="0"/>
        <v>U_005</v>
      </c>
      <c r="Q4" s="144" t="str">
        <f t="shared" ca="1" si="0"/>
        <v>U_006</v>
      </c>
      <c r="R4" s="144" t="str">
        <f t="shared" ca="1" si="0"/>
        <v>U_007</v>
      </c>
      <c r="S4" s="144" t="str">
        <f t="shared" ca="1" si="0"/>
        <v>U_008</v>
      </c>
      <c r="T4" s="144" t="str">
        <f t="shared" ca="1" si="0"/>
        <v>U_009</v>
      </c>
      <c r="U4" s="144" t="str">
        <f t="shared" ca="1" si="0"/>
        <v>U_010</v>
      </c>
      <c r="V4" s="144" t="str">
        <f t="shared" ca="1" si="0"/>
        <v>U_011</v>
      </c>
      <c r="W4" s="144" t="str">
        <f t="shared" ca="1" si="0"/>
        <v>U_012</v>
      </c>
      <c r="X4" s="144" t="str">
        <f t="shared" ca="1" si="0"/>
        <v>U_013</v>
      </c>
      <c r="Y4" s="144" t="str">
        <f t="shared" ca="1" si="0"/>
        <v>U_014</v>
      </c>
      <c r="Z4" s="144" t="str">
        <f t="shared" ca="1" si="0"/>
        <v>U_015</v>
      </c>
      <c r="AA4" s="144" t="str">
        <f t="shared" ca="1" si="0"/>
        <v>U_016</v>
      </c>
      <c r="AB4" s="144" t="str">
        <f t="shared" ca="1" si="0"/>
        <v>U_017</v>
      </c>
      <c r="AC4" s="144" t="str">
        <f t="shared" ca="1" si="0"/>
        <v>U_018</v>
      </c>
    </row>
    <row r="5" spans="1:29" s="50" customFormat="1" ht="14.1" customHeight="1">
      <c r="A5" s="52" t="str">
        <f>ChkList!$A$5</f>
        <v>U1</v>
      </c>
      <c r="B5" s="53"/>
      <c r="C5" s="54" t="str">
        <f>VLOOKUP($A5,ChkList!$A$5:$B$44,2,FALSE)</f>
        <v>계정 관리</v>
      </c>
      <c r="D5" s="55"/>
      <c r="E5" s="56"/>
      <c r="F5" s="57"/>
      <c r="G5" s="57"/>
      <c r="H5" s="57"/>
      <c r="I5" s="57"/>
      <c r="J5" s="57"/>
      <c r="K5" s="57"/>
      <c r="L5" s="57"/>
      <c r="M5" s="57"/>
      <c r="N5" s="57"/>
      <c r="O5" s="57"/>
      <c r="P5" s="57"/>
      <c r="Q5" s="57"/>
      <c r="R5" s="57"/>
      <c r="S5" s="57"/>
      <c r="T5" s="57"/>
      <c r="U5" s="57"/>
      <c r="V5" s="57"/>
      <c r="W5" s="57"/>
      <c r="X5" s="57"/>
      <c r="Y5" s="57"/>
      <c r="Z5" s="57"/>
      <c r="AA5" s="57"/>
      <c r="AB5" s="57"/>
      <c r="AC5" s="57"/>
    </row>
    <row r="6" spans="1:29" ht="14.1" customHeight="1">
      <c r="A6" s="58"/>
      <c r="B6" s="58" t="s">
        <v>128</v>
      </c>
      <c r="C6" s="58" t="str">
        <f>ChkList!$B6</f>
        <v>U-01</v>
      </c>
      <c r="D6" s="59" t="str">
        <f>ChkList!$C6</f>
        <v>root 계정 원격 접속 제한</v>
      </c>
      <c r="E6" s="60" t="str">
        <f>ChkList!$D6</f>
        <v>H</v>
      </c>
      <c r="F6" s="61">
        <f ca="1">COUNTA($L6:INDIRECT(ADDRESS(ROW(),MATCH("",$4:$4,-1),1,1)))</f>
        <v>18</v>
      </c>
      <c r="G6" s="61">
        <f ca="1">COUNTIF($L6:INDIRECT(ADDRESS(ROW(),MATCH("",$4:$4,-1),1,1)),"Y")</f>
        <v>5</v>
      </c>
      <c r="H6" s="61">
        <f ca="1">COUNTIF($L6:INDIRECT(ADDRESS(ROW(),MATCH("",$4:$4,-1),1,1)),"N")</f>
        <v>13</v>
      </c>
      <c r="I6" s="61">
        <f ca="1">COUNTIF($L6:INDIRECT(ADDRESS(ROW(),MATCH("",$4:$4,-1),1,1)),"N/A")</f>
        <v>0</v>
      </c>
      <c r="J6" s="61">
        <f ca="1">VLOOKUP($E6,ChkList!$A$47:$B$49,2,FALSE)*($F6-$I6)</f>
        <v>54</v>
      </c>
      <c r="K6" s="61">
        <f ca="1">VLOOKUP($E6,ChkList!$A$47:$B$49,2,FALSE)*$G6</f>
        <v>15</v>
      </c>
      <c r="L6" s="58" t="str">
        <f t="shared" ref="L6:AC10" ca="1" si="1">IFERROR(INDIRECT(ADDRESS(ROW()+15,10,1,TRUE,L$4)),"")</f>
        <v>Y</v>
      </c>
      <c r="M6" s="58" t="str">
        <f t="shared" ca="1" si="1"/>
        <v>Y</v>
      </c>
      <c r="N6" s="58" t="str">
        <f t="shared" ca="1" si="1"/>
        <v>Y</v>
      </c>
      <c r="O6" s="58" t="str">
        <f t="shared" ca="1" si="1"/>
        <v>Y</v>
      </c>
      <c r="P6" s="58" t="str">
        <f t="shared" ca="1" si="1"/>
        <v>Y</v>
      </c>
      <c r="Q6" s="58" t="str">
        <f t="shared" ca="1" si="1"/>
        <v>N</v>
      </c>
      <c r="R6" s="58" t="str">
        <f t="shared" ca="1" si="1"/>
        <v>N</v>
      </c>
      <c r="S6" s="58" t="str">
        <f t="shared" ca="1" si="1"/>
        <v>N</v>
      </c>
      <c r="T6" s="58" t="str">
        <f t="shared" ca="1" si="1"/>
        <v>N</v>
      </c>
      <c r="U6" s="58" t="str">
        <f t="shared" ca="1" si="1"/>
        <v>N</v>
      </c>
      <c r="V6" s="58" t="str">
        <f t="shared" ca="1" si="1"/>
        <v>N</v>
      </c>
      <c r="W6" s="58" t="str">
        <f t="shared" ca="1" si="1"/>
        <v>N</v>
      </c>
      <c r="X6" s="58" t="str">
        <f t="shared" ca="1" si="1"/>
        <v>N</v>
      </c>
      <c r="Y6" s="58" t="str">
        <f t="shared" ca="1" si="1"/>
        <v>N</v>
      </c>
      <c r="Z6" s="58" t="str">
        <f t="shared" ca="1" si="1"/>
        <v>N</v>
      </c>
      <c r="AA6" s="58" t="str">
        <f t="shared" ca="1" si="1"/>
        <v>N</v>
      </c>
      <c r="AB6" s="58" t="str">
        <f t="shared" ca="1" si="1"/>
        <v>N</v>
      </c>
      <c r="AC6" s="58" t="str">
        <f t="shared" ca="1" si="1"/>
        <v>N</v>
      </c>
    </row>
    <row r="7" spans="1:29" ht="14.1" customHeight="1">
      <c r="A7" s="63"/>
      <c r="B7" s="58" t="s">
        <v>94</v>
      </c>
      <c r="C7" s="58" t="str">
        <f>ChkList!$B7</f>
        <v>U-02</v>
      </c>
      <c r="D7" s="59" t="str">
        <f>ChkList!$C7</f>
        <v>패스워드 복잡성 설정</v>
      </c>
      <c r="E7" s="60" t="str">
        <f>ChkList!$D7</f>
        <v>H</v>
      </c>
      <c r="F7" s="61">
        <f ca="1">COUNTA($L7:INDIRECT(ADDRESS(ROW(),MATCH("",$4:$4,-1),1,1)))</f>
        <v>18</v>
      </c>
      <c r="G7" s="61">
        <f ca="1">COUNTIF($L7:INDIRECT(ADDRESS(ROW(),MATCH("",$4:$4,-1),1,1)),"Y")</f>
        <v>1</v>
      </c>
      <c r="H7" s="61">
        <f ca="1">COUNTIF($L7:INDIRECT(ADDRESS(ROW(),MATCH("",$4:$4,-1),1,1)),"N")</f>
        <v>17</v>
      </c>
      <c r="I7" s="61">
        <f ca="1">COUNTIF($L7:INDIRECT(ADDRESS(ROW(),MATCH("",$4:$4,-1),1,1)),"N/A")</f>
        <v>0</v>
      </c>
      <c r="J7" s="61">
        <f ca="1">VLOOKUP($E7,ChkList!$A$47:$B$49,2,FALSE)*($F7-$I7)</f>
        <v>54</v>
      </c>
      <c r="K7" s="61">
        <f ca="1">VLOOKUP($E7,ChkList!$A$47:$B$49,2,FALSE)*$G7</f>
        <v>3</v>
      </c>
      <c r="L7" s="58" t="str">
        <f t="shared" ca="1" si="1"/>
        <v>N</v>
      </c>
      <c r="M7" s="58" t="str">
        <f t="shared" ca="1" si="1"/>
        <v>N</v>
      </c>
      <c r="N7" s="58" t="str">
        <f t="shared" ca="1" si="1"/>
        <v>Y</v>
      </c>
      <c r="O7" s="58" t="str">
        <f t="shared" ca="1" si="1"/>
        <v>N</v>
      </c>
      <c r="P7" s="58" t="str">
        <f t="shared" ca="1" si="1"/>
        <v>N</v>
      </c>
      <c r="Q7" s="58" t="str">
        <f t="shared" ca="1" si="1"/>
        <v>N</v>
      </c>
      <c r="R7" s="58" t="str">
        <f t="shared" ca="1" si="1"/>
        <v>N</v>
      </c>
      <c r="S7" s="58" t="str">
        <f t="shared" ca="1" si="1"/>
        <v>N</v>
      </c>
      <c r="T7" s="58" t="str">
        <f t="shared" ca="1" si="1"/>
        <v>N</v>
      </c>
      <c r="U7" s="58" t="str">
        <f t="shared" ca="1" si="1"/>
        <v>N</v>
      </c>
      <c r="V7" s="58" t="str">
        <f t="shared" ca="1" si="1"/>
        <v>N</v>
      </c>
      <c r="W7" s="58" t="str">
        <f t="shared" ca="1" si="1"/>
        <v>N</v>
      </c>
      <c r="X7" s="58" t="str">
        <f t="shared" ca="1" si="1"/>
        <v>N</v>
      </c>
      <c r="Y7" s="58" t="str">
        <f t="shared" ca="1" si="1"/>
        <v>N</v>
      </c>
      <c r="Z7" s="58" t="str">
        <f t="shared" ca="1" si="1"/>
        <v>N</v>
      </c>
      <c r="AA7" s="58" t="str">
        <f t="shared" ca="1" si="1"/>
        <v>N</v>
      </c>
      <c r="AB7" s="58" t="str">
        <f t="shared" ca="1" si="1"/>
        <v>N</v>
      </c>
      <c r="AC7" s="58" t="str">
        <f t="shared" ca="1" si="1"/>
        <v>N</v>
      </c>
    </row>
    <row r="8" spans="1:29" ht="14.1" customHeight="1">
      <c r="A8" s="63"/>
      <c r="B8" s="58" t="s">
        <v>95</v>
      </c>
      <c r="C8" s="58" t="str">
        <f>ChkList!$B8</f>
        <v>U-03</v>
      </c>
      <c r="D8" s="59" t="str">
        <f>ChkList!$C8</f>
        <v>계정 잠금 임계값 설정</v>
      </c>
      <c r="E8" s="60" t="str">
        <f>ChkList!$D8</f>
        <v>H</v>
      </c>
      <c r="F8" s="61">
        <f ca="1">COUNTA($L8:INDIRECT(ADDRESS(ROW(),MATCH("",$4:$4,-1),1,1)))</f>
        <v>18</v>
      </c>
      <c r="G8" s="61">
        <f ca="1">COUNTIF($L8:INDIRECT(ADDRESS(ROW(),MATCH("",$4:$4,-1),1,1)),"Y")</f>
        <v>5</v>
      </c>
      <c r="H8" s="61">
        <f ca="1">COUNTIF($L8:INDIRECT(ADDRESS(ROW(),MATCH("",$4:$4,-1),1,1)),"N")</f>
        <v>13</v>
      </c>
      <c r="I8" s="61">
        <f ca="1">COUNTIF($L8:INDIRECT(ADDRESS(ROW(),MATCH("",$4:$4,-1),1,1)),"N/A")</f>
        <v>0</v>
      </c>
      <c r="J8" s="61">
        <f ca="1">VLOOKUP($E8,ChkList!$A$47:$B$49,2,FALSE)*($F8-$I8)</f>
        <v>54</v>
      </c>
      <c r="K8" s="61">
        <f ca="1">VLOOKUP($E8,ChkList!$A$47:$B$49,2,FALSE)*$G8</f>
        <v>15</v>
      </c>
      <c r="L8" s="58" t="str">
        <f t="shared" ca="1" si="1"/>
        <v>Y</v>
      </c>
      <c r="M8" s="58" t="str">
        <f t="shared" ca="1" si="1"/>
        <v>Y</v>
      </c>
      <c r="N8" s="58" t="str">
        <f t="shared" ca="1" si="1"/>
        <v>Y</v>
      </c>
      <c r="O8" s="58" t="str">
        <f t="shared" ca="1" si="1"/>
        <v>Y</v>
      </c>
      <c r="P8" s="58" t="str">
        <f t="shared" ca="1" si="1"/>
        <v>Y</v>
      </c>
      <c r="Q8" s="58" t="str">
        <f t="shared" ca="1" si="1"/>
        <v>N</v>
      </c>
      <c r="R8" s="58" t="str">
        <f t="shared" ca="1" si="1"/>
        <v>N</v>
      </c>
      <c r="S8" s="58" t="str">
        <f t="shared" ca="1" si="1"/>
        <v>N</v>
      </c>
      <c r="T8" s="58" t="str">
        <f t="shared" ca="1" si="1"/>
        <v>N</v>
      </c>
      <c r="U8" s="58" t="str">
        <f t="shared" ca="1" si="1"/>
        <v>N</v>
      </c>
      <c r="V8" s="58" t="str">
        <f t="shared" ca="1" si="1"/>
        <v>N</v>
      </c>
      <c r="W8" s="58" t="str">
        <f t="shared" ca="1" si="1"/>
        <v>N</v>
      </c>
      <c r="X8" s="58" t="str">
        <f t="shared" ca="1" si="1"/>
        <v>N</v>
      </c>
      <c r="Y8" s="58" t="str">
        <f t="shared" ca="1" si="1"/>
        <v>N</v>
      </c>
      <c r="Z8" s="58" t="str">
        <f t="shared" ca="1" si="1"/>
        <v>N</v>
      </c>
      <c r="AA8" s="58" t="str">
        <f t="shared" ca="1" si="1"/>
        <v>N</v>
      </c>
      <c r="AB8" s="58" t="str">
        <f t="shared" ca="1" si="1"/>
        <v>N</v>
      </c>
      <c r="AC8" s="58" t="str">
        <f t="shared" ca="1" si="1"/>
        <v>N</v>
      </c>
    </row>
    <row r="9" spans="1:29" ht="14.1" customHeight="1">
      <c r="A9" s="63"/>
      <c r="B9" s="58" t="s">
        <v>96</v>
      </c>
      <c r="C9" s="58" t="str">
        <f>ChkList!$B9</f>
        <v>U-04</v>
      </c>
      <c r="D9" s="59" t="str">
        <f>ChkList!$C9</f>
        <v>패스워드 최대 사용 기간 설정</v>
      </c>
      <c r="E9" s="60" t="str">
        <f>ChkList!$D9</f>
        <v>M</v>
      </c>
      <c r="F9" s="61">
        <f ca="1">COUNTA($L9:INDIRECT(ADDRESS(ROW(),MATCH("",$4:$4,-1),1,1)))</f>
        <v>18</v>
      </c>
      <c r="G9" s="61">
        <f ca="1">COUNTIF($L9:INDIRECT(ADDRESS(ROW(),MATCH("",$4:$4,-1),1,1)),"Y")</f>
        <v>3</v>
      </c>
      <c r="H9" s="61">
        <f ca="1">COUNTIF($L9:INDIRECT(ADDRESS(ROW(),MATCH("",$4:$4,-1),1,1)),"N")</f>
        <v>15</v>
      </c>
      <c r="I9" s="61">
        <f ca="1">COUNTIF($L9:INDIRECT(ADDRESS(ROW(),MATCH("",$4:$4,-1),1,1)),"N/A")</f>
        <v>0</v>
      </c>
      <c r="J9" s="61">
        <f ca="1">VLOOKUP($E9,ChkList!$A$47:$B$49,2,FALSE)*($F9-$I9)</f>
        <v>36</v>
      </c>
      <c r="K9" s="61">
        <f ca="1">VLOOKUP($E9,ChkList!$A$47:$B$49,2,FALSE)*$G9</f>
        <v>6</v>
      </c>
      <c r="L9" s="58" t="str">
        <f t="shared" ca="1" si="1"/>
        <v>Y</v>
      </c>
      <c r="M9" s="58" t="str">
        <f t="shared" ca="1" si="1"/>
        <v>Y</v>
      </c>
      <c r="N9" s="58" t="str">
        <f t="shared" ca="1" si="1"/>
        <v>Y</v>
      </c>
      <c r="O9" s="58" t="str">
        <f t="shared" ca="1" si="1"/>
        <v>N</v>
      </c>
      <c r="P9" s="58" t="str">
        <f t="shared" ca="1" si="1"/>
        <v>N</v>
      </c>
      <c r="Q9" s="58" t="str">
        <f t="shared" ca="1" si="1"/>
        <v>N</v>
      </c>
      <c r="R9" s="58" t="str">
        <f t="shared" ca="1" si="1"/>
        <v>N</v>
      </c>
      <c r="S9" s="58" t="str">
        <f t="shared" ca="1" si="1"/>
        <v>N</v>
      </c>
      <c r="T9" s="58" t="str">
        <f t="shared" ca="1" si="1"/>
        <v>N</v>
      </c>
      <c r="U9" s="58" t="str">
        <f t="shared" ca="1" si="1"/>
        <v>N</v>
      </c>
      <c r="V9" s="58" t="str">
        <f t="shared" ca="1" si="1"/>
        <v>N</v>
      </c>
      <c r="W9" s="58" t="str">
        <f t="shared" ca="1" si="1"/>
        <v>N</v>
      </c>
      <c r="X9" s="58" t="str">
        <f t="shared" ca="1" si="1"/>
        <v>N</v>
      </c>
      <c r="Y9" s="58" t="str">
        <f t="shared" ca="1" si="1"/>
        <v>N</v>
      </c>
      <c r="Z9" s="58" t="str">
        <f t="shared" ca="1" si="1"/>
        <v>N</v>
      </c>
      <c r="AA9" s="58" t="str">
        <f t="shared" ca="1" si="1"/>
        <v>N</v>
      </c>
      <c r="AB9" s="58" t="str">
        <f t="shared" ca="1" si="1"/>
        <v>N</v>
      </c>
      <c r="AC9" s="58" t="str">
        <f t="shared" ca="1" si="1"/>
        <v>N</v>
      </c>
    </row>
    <row r="10" spans="1:29" ht="14.1" customHeight="1">
      <c r="A10" s="63"/>
      <c r="B10" s="58" t="s">
        <v>165</v>
      </c>
      <c r="C10" s="58" t="str">
        <f>ChkList!$B10</f>
        <v>U-05</v>
      </c>
      <c r="D10" s="59" t="str">
        <f>ChkList!$C10</f>
        <v>패스워드 파일 보호</v>
      </c>
      <c r="E10" s="60" t="str">
        <f>ChkList!$D10</f>
        <v>H</v>
      </c>
      <c r="F10" s="61">
        <f ca="1">COUNTA($L10:INDIRECT(ADDRESS(ROW(),MATCH("",$4:$4,-1),1,1)))</f>
        <v>18</v>
      </c>
      <c r="G10" s="61">
        <f ca="1">COUNTIF($L10:INDIRECT(ADDRESS(ROW(),MATCH("",$4:$4,-1),1,1)),"Y")</f>
        <v>18</v>
      </c>
      <c r="H10" s="61">
        <f ca="1">COUNTIF($L10:INDIRECT(ADDRESS(ROW(),MATCH("",$4:$4,-1),1,1)),"N")</f>
        <v>0</v>
      </c>
      <c r="I10" s="61">
        <f ca="1">COUNTIF($L10:INDIRECT(ADDRESS(ROW(),MATCH("",$4:$4,-1),1,1)),"N/A")</f>
        <v>0</v>
      </c>
      <c r="J10" s="61">
        <f ca="1">VLOOKUP($E10,ChkList!$A$47:$B$49,2,FALSE)*($F10-$I10)</f>
        <v>54</v>
      </c>
      <c r="K10" s="61">
        <f ca="1">VLOOKUP($E10,ChkList!$A$47:$B$49,2,FALSE)*$G10</f>
        <v>54</v>
      </c>
      <c r="L10" s="58" t="str">
        <f t="shared" ca="1" si="1"/>
        <v>Y</v>
      </c>
      <c r="M10" s="58" t="str">
        <f t="shared" ca="1" si="1"/>
        <v>Y</v>
      </c>
      <c r="N10" s="58" t="str">
        <f t="shared" ca="1" si="1"/>
        <v>Y</v>
      </c>
      <c r="O10" s="58" t="str">
        <f t="shared" ca="1" si="1"/>
        <v>Y</v>
      </c>
      <c r="P10" s="58" t="str">
        <f t="shared" ca="1" si="1"/>
        <v>Y</v>
      </c>
      <c r="Q10" s="58" t="str">
        <f t="shared" ca="1" si="1"/>
        <v>Y</v>
      </c>
      <c r="R10" s="58" t="str">
        <f t="shared" ca="1" si="1"/>
        <v>Y</v>
      </c>
      <c r="S10" s="58" t="str">
        <f t="shared" ca="1" si="1"/>
        <v>Y</v>
      </c>
      <c r="T10" s="58" t="str">
        <f t="shared" ca="1" si="1"/>
        <v>Y</v>
      </c>
      <c r="U10" s="58" t="str">
        <f t="shared" ca="1" si="1"/>
        <v>Y</v>
      </c>
      <c r="V10" s="58" t="str">
        <f t="shared" ca="1" si="1"/>
        <v>Y</v>
      </c>
      <c r="W10" s="58" t="str">
        <f t="shared" ca="1" si="1"/>
        <v>Y</v>
      </c>
      <c r="X10" s="58" t="str">
        <f t="shared" ca="1" si="1"/>
        <v>Y</v>
      </c>
      <c r="Y10" s="58" t="str">
        <f t="shared" ca="1" si="1"/>
        <v>Y</v>
      </c>
      <c r="Z10" s="58" t="str">
        <f t="shared" ca="1" si="1"/>
        <v>Y</v>
      </c>
      <c r="AA10" s="58" t="str">
        <f t="shared" ca="1" si="1"/>
        <v>Y</v>
      </c>
      <c r="AB10" s="58" t="str">
        <f t="shared" ca="1" si="1"/>
        <v>Y</v>
      </c>
      <c r="AC10" s="58" t="str">
        <f t="shared" ca="1" si="1"/>
        <v>Y</v>
      </c>
    </row>
    <row r="11" spans="1:29" ht="14.1" customHeight="1">
      <c r="A11" s="52" t="str">
        <f>ChkList!$A$11</f>
        <v>U2</v>
      </c>
      <c r="B11" s="53"/>
      <c r="C11" s="54" t="str">
        <f>VLOOKUP($A11,ChkList!$A$5:$B$44,2,FALSE)</f>
        <v>파일 및 디렉토리 관리</v>
      </c>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row>
    <row r="12" spans="1:29" ht="14.1" customHeight="1">
      <c r="A12" s="58"/>
      <c r="B12" s="58" t="s">
        <v>129</v>
      </c>
      <c r="C12" s="58" t="str">
        <f>ChkList!$B12</f>
        <v>U-06</v>
      </c>
      <c r="D12" s="59" t="str">
        <f>ChkList!$C12</f>
        <v>root 홈, 패스 디렉터리 권한 및 패스 설정</v>
      </c>
      <c r="E12" s="60" t="str">
        <f>ChkList!$D12</f>
        <v>H</v>
      </c>
      <c r="F12" s="61">
        <f ca="1">COUNTA($L12:INDIRECT(ADDRESS(ROW(),MATCH("",$4:$4,-1),1,1)))</f>
        <v>18</v>
      </c>
      <c r="G12" s="61">
        <f ca="1">COUNTIF($L12:INDIRECT(ADDRESS(ROW(),MATCH("",$4:$4,-1),1,1)),"Y")</f>
        <v>18</v>
      </c>
      <c r="H12" s="61">
        <f ca="1">COUNTIF($L12:INDIRECT(ADDRESS(ROW(),MATCH("",$4:$4,-1),1,1)),"N")</f>
        <v>0</v>
      </c>
      <c r="I12" s="61">
        <f ca="1">COUNTIF($L12:INDIRECT(ADDRESS(ROW(),MATCH("",$4:$4,-1),1,1)),"N/A")</f>
        <v>0</v>
      </c>
      <c r="J12" s="61">
        <f ca="1">VLOOKUP($E12,ChkList!$A$47:$B$49,2,FALSE)*($F12-$I12)</f>
        <v>54</v>
      </c>
      <c r="K12" s="61">
        <f ca="1">VLOOKUP($E12,ChkList!$A$47:$B$49,2,FALSE)*$G12</f>
        <v>54</v>
      </c>
      <c r="L12" s="58" t="str">
        <f t="shared" ref="L12:AC25" ca="1" si="2">IFERROR(INDIRECT(ADDRESS(ROW()+15,10,1,TRUE,L$4)),"")</f>
        <v>Y</v>
      </c>
      <c r="M12" s="58" t="str">
        <f t="shared" ca="1" si="2"/>
        <v>Y</v>
      </c>
      <c r="N12" s="58" t="str">
        <f t="shared" ca="1" si="2"/>
        <v>Y</v>
      </c>
      <c r="O12" s="58" t="str">
        <f t="shared" ref="O12:W25" ca="1" si="3">IFERROR(INDIRECT(ADDRESS(ROW()+15,10,1,TRUE,O$4)),"")</f>
        <v>Y</v>
      </c>
      <c r="P12" s="58" t="str">
        <f t="shared" ca="1" si="3"/>
        <v>Y</v>
      </c>
      <c r="Q12" s="58" t="str">
        <f t="shared" ca="1" si="3"/>
        <v>Y</v>
      </c>
      <c r="R12" s="58" t="str">
        <f t="shared" ca="1" si="3"/>
        <v>Y</v>
      </c>
      <c r="S12" s="58" t="str">
        <f t="shared" ca="1" si="3"/>
        <v>Y</v>
      </c>
      <c r="T12" s="58" t="str">
        <f t="shared" ca="1" si="3"/>
        <v>Y</v>
      </c>
      <c r="U12" s="58" t="str">
        <f t="shared" ca="1" si="3"/>
        <v>Y</v>
      </c>
      <c r="V12" s="58" t="str">
        <f t="shared" ca="1" si="3"/>
        <v>Y</v>
      </c>
      <c r="W12" s="58" t="str">
        <f t="shared" ca="1" si="3"/>
        <v>Y</v>
      </c>
      <c r="X12" s="58" t="str">
        <f t="shared" ca="1" si="2"/>
        <v>Y</v>
      </c>
      <c r="Y12" s="58" t="str">
        <f t="shared" ca="1" si="2"/>
        <v>Y</v>
      </c>
      <c r="Z12" s="58" t="str">
        <f t="shared" ca="1" si="2"/>
        <v>Y</v>
      </c>
      <c r="AA12" s="58" t="str">
        <f t="shared" ca="1" si="2"/>
        <v>Y</v>
      </c>
      <c r="AB12" s="58" t="str">
        <f t="shared" ca="1" si="2"/>
        <v>Y</v>
      </c>
      <c r="AC12" s="58" t="str">
        <f t="shared" ca="1" si="2"/>
        <v>Y</v>
      </c>
    </row>
    <row r="13" spans="1:29" ht="14.1" customHeight="1">
      <c r="A13" s="63"/>
      <c r="B13" s="58" t="s">
        <v>98</v>
      </c>
      <c r="C13" s="58" t="str">
        <f>ChkList!$B13</f>
        <v>U-07</v>
      </c>
      <c r="D13" s="59" t="str">
        <f>ChkList!$C13</f>
        <v>파일 및 디렉터리 소유자 설정</v>
      </c>
      <c r="E13" s="60" t="str">
        <f>ChkList!$D13</f>
        <v>H</v>
      </c>
      <c r="F13" s="61">
        <f ca="1">COUNTA($L13:INDIRECT(ADDRESS(ROW(),MATCH("",$4:$4,-1),1,1)))</f>
        <v>18</v>
      </c>
      <c r="G13" s="61">
        <f ca="1">COUNTIF($L13:INDIRECT(ADDRESS(ROW(),MATCH("",$4:$4,-1),1,1)),"Y")</f>
        <v>18</v>
      </c>
      <c r="H13" s="61">
        <f ca="1">COUNTIF($L13:INDIRECT(ADDRESS(ROW(),MATCH("",$4:$4,-1),1,1)),"N")</f>
        <v>0</v>
      </c>
      <c r="I13" s="61">
        <f ca="1">COUNTIF($L13:INDIRECT(ADDRESS(ROW(),MATCH("",$4:$4,-1),1,1)),"N/A")</f>
        <v>0</v>
      </c>
      <c r="J13" s="61">
        <f ca="1">VLOOKUP($E13,ChkList!$A$47:$B$49,2,FALSE)*($F13-$I13)</f>
        <v>54</v>
      </c>
      <c r="K13" s="61">
        <f ca="1">VLOOKUP($E13,ChkList!$A$47:$B$49,2,FALSE)*$G13</f>
        <v>54</v>
      </c>
      <c r="L13" s="58" t="str">
        <f t="shared" ca="1" si="2"/>
        <v>Y</v>
      </c>
      <c r="M13" s="58" t="str">
        <f t="shared" ca="1" si="2"/>
        <v>Y</v>
      </c>
      <c r="N13" s="58" t="str">
        <f t="shared" ca="1" si="2"/>
        <v>Y</v>
      </c>
      <c r="O13" s="58" t="str">
        <f t="shared" ca="1" si="3"/>
        <v>Y</v>
      </c>
      <c r="P13" s="58" t="str">
        <f t="shared" ca="1" si="3"/>
        <v>Y</v>
      </c>
      <c r="Q13" s="58" t="str">
        <f t="shared" ca="1" si="3"/>
        <v>Y</v>
      </c>
      <c r="R13" s="58" t="str">
        <f t="shared" ca="1" si="3"/>
        <v>Y</v>
      </c>
      <c r="S13" s="58" t="str">
        <f t="shared" ca="1" si="3"/>
        <v>Y</v>
      </c>
      <c r="T13" s="58" t="str">
        <f t="shared" ca="1" si="3"/>
        <v>Y</v>
      </c>
      <c r="U13" s="58" t="str">
        <f t="shared" ca="1" si="3"/>
        <v>Y</v>
      </c>
      <c r="V13" s="58" t="str">
        <f t="shared" ca="1" si="3"/>
        <v>Y</v>
      </c>
      <c r="W13" s="58" t="str">
        <f t="shared" ca="1" si="3"/>
        <v>Y</v>
      </c>
      <c r="X13" s="58" t="str">
        <f t="shared" ca="1" si="2"/>
        <v>Y</v>
      </c>
      <c r="Y13" s="58" t="str">
        <f t="shared" ca="1" si="2"/>
        <v>Y</v>
      </c>
      <c r="Z13" s="58" t="str">
        <f t="shared" ca="1" si="2"/>
        <v>Y</v>
      </c>
      <c r="AA13" s="58" t="str">
        <f t="shared" ca="1" si="2"/>
        <v>Y</v>
      </c>
      <c r="AB13" s="58" t="str">
        <f t="shared" ca="1" si="2"/>
        <v>Y</v>
      </c>
      <c r="AC13" s="58" t="str">
        <f t="shared" ca="1" si="2"/>
        <v>Y</v>
      </c>
    </row>
    <row r="14" spans="1:29" ht="14.1" customHeight="1">
      <c r="A14" s="63"/>
      <c r="B14" s="58" t="s">
        <v>99</v>
      </c>
      <c r="C14" s="58" t="str">
        <f>ChkList!$B14</f>
        <v>U-08</v>
      </c>
      <c r="D14" s="59" t="str">
        <f>ChkList!$C14</f>
        <v>/etc/passwd 파일 소유자 및 권한 설정</v>
      </c>
      <c r="E14" s="60" t="str">
        <f>ChkList!$D14</f>
        <v>H</v>
      </c>
      <c r="F14" s="61">
        <f ca="1">COUNTA($L14:INDIRECT(ADDRESS(ROW(),MATCH("",$4:$4,-1),1,1)))</f>
        <v>18</v>
      </c>
      <c r="G14" s="61">
        <f ca="1">COUNTIF($L14:INDIRECT(ADDRESS(ROW(),MATCH("",$4:$4,-1),1,1)),"Y")</f>
        <v>18</v>
      </c>
      <c r="H14" s="61">
        <f ca="1">COUNTIF($L14:INDIRECT(ADDRESS(ROW(),MATCH("",$4:$4,-1),1,1)),"N")</f>
        <v>0</v>
      </c>
      <c r="I14" s="61">
        <f ca="1">COUNTIF($L14:INDIRECT(ADDRESS(ROW(),MATCH("",$4:$4,-1),1,1)),"N/A")</f>
        <v>0</v>
      </c>
      <c r="J14" s="61">
        <f ca="1">VLOOKUP($E14,ChkList!$A$47:$B$49,2,FALSE)*($F14-$I14)</f>
        <v>54</v>
      </c>
      <c r="K14" s="61">
        <f ca="1">VLOOKUP($E14,ChkList!$A$47:$B$49,2,FALSE)*$G14</f>
        <v>54</v>
      </c>
      <c r="L14" s="58" t="str">
        <f t="shared" ca="1" si="2"/>
        <v>Y</v>
      </c>
      <c r="M14" s="58" t="str">
        <f t="shared" ca="1" si="2"/>
        <v>Y</v>
      </c>
      <c r="N14" s="58" t="str">
        <f t="shared" ca="1" si="2"/>
        <v>Y</v>
      </c>
      <c r="O14" s="58" t="str">
        <f t="shared" ca="1" si="3"/>
        <v>Y</v>
      </c>
      <c r="P14" s="58" t="str">
        <f t="shared" ca="1" si="3"/>
        <v>Y</v>
      </c>
      <c r="Q14" s="58" t="str">
        <f t="shared" ca="1" si="3"/>
        <v>Y</v>
      </c>
      <c r="R14" s="58" t="str">
        <f t="shared" ca="1" si="3"/>
        <v>Y</v>
      </c>
      <c r="S14" s="58" t="str">
        <f t="shared" ca="1" si="3"/>
        <v>Y</v>
      </c>
      <c r="T14" s="58" t="str">
        <f t="shared" ca="1" si="3"/>
        <v>Y</v>
      </c>
      <c r="U14" s="58" t="str">
        <f t="shared" ca="1" si="3"/>
        <v>Y</v>
      </c>
      <c r="V14" s="58" t="str">
        <f t="shared" ca="1" si="3"/>
        <v>Y</v>
      </c>
      <c r="W14" s="58" t="str">
        <f t="shared" ca="1" si="3"/>
        <v>Y</v>
      </c>
      <c r="X14" s="58" t="str">
        <f t="shared" ca="1" si="2"/>
        <v>Y</v>
      </c>
      <c r="Y14" s="58" t="str">
        <f t="shared" ca="1" si="2"/>
        <v>Y</v>
      </c>
      <c r="Z14" s="58" t="str">
        <f t="shared" ca="1" si="2"/>
        <v>Y</v>
      </c>
      <c r="AA14" s="58" t="str">
        <f t="shared" ca="1" si="2"/>
        <v>Y</v>
      </c>
      <c r="AB14" s="58" t="str">
        <f t="shared" ca="1" si="2"/>
        <v>Y</v>
      </c>
      <c r="AC14" s="58" t="str">
        <f t="shared" ca="1" si="2"/>
        <v>Y</v>
      </c>
    </row>
    <row r="15" spans="1:29" ht="14.1" customHeight="1">
      <c r="A15" s="63"/>
      <c r="B15" s="58" t="s">
        <v>100</v>
      </c>
      <c r="C15" s="58" t="str">
        <f>ChkList!$B15</f>
        <v>U-09</v>
      </c>
      <c r="D15" s="59" t="str">
        <f>ChkList!$C15</f>
        <v>/etc/shadow 파일 소유자 및 권한 설정</v>
      </c>
      <c r="E15" s="60" t="str">
        <f>ChkList!$D15</f>
        <v>H</v>
      </c>
      <c r="F15" s="61">
        <f ca="1">COUNTA($L15:INDIRECT(ADDRESS(ROW(),MATCH("",$4:$4,-1),1,1)))</f>
        <v>18</v>
      </c>
      <c r="G15" s="61">
        <f ca="1">COUNTIF($L15:INDIRECT(ADDRESS(ROW(),MATCH("",$4:$4,-1),1,1)),"Y")</f>
        <v>18</v>
      </c>
      <c r="H15" s="61">
        <f ca="1">COUNTIF($L15:INDIRECT(ADDRESS(ROW(),MATCH("",$4:$4,-1),1,1)),"N")</f>
        <v>0</v>
      </c>
      <c r="I15" s="61">
        <f ca="1">COUNTIF($L15:INDIRECT(ADDRESS(ROW(),MATCH("",$4:$4,-1),1,1)),"N/A")</f>
        <v>0</v>
      </c>
      <c r="J15" s="61">
        <f ca="1">VLOOKUP($E15,ChkList!$A$47:$B$49,2,FALSE)*($F15-$I15)</f>
        <v>54</v>
      </c>
      <c r="K15" s="61">
        <f ca="1">VLOOKUP($E15,ChkList!$A$47:$B$49,2,FALSE)*$G15</f>
        <v>54</v>
      </c>
      <c r="L15" s="58" t="str">
        <f t="shared" ca="1" si="2"/>
        <v>Y</v>
      </c>
      <c r="M15" s="58" t="str">
        <f t="shared" ca="1" si="2"/>
        <v>Y</v>
      </c>
      <c r="N15" s="58" t="str">
        <f t="shared" ca="1" si="2"/>
        <v>Y</v>
      </c>
      <c r="O15" s="58" t="str">
        <f t="shared" ca="1" si="3"/>
        <v>Y</v>
      </c>
      <c r="P15" s="58" t="str">
        <f t="shared" ca="1" si="3"/>
        <v>Y</v>
      </c>
      <c r="Q15" s="58" t="str">
        <f t="shared" ca="1" si="3"/>
        <v>Y</v>
      </c>
      <c r="R15" s="58" t="str">
        <f t="shared" ca="1" si="3"/>
        <v>Y</v>
      </c>
      <c r="S15" s="58" t="str">
        <f t="shared" ca="1" si="3"/>
        <v>Y</v>
      </c>
      <c r="T15" s="58" t="str">
        <f t="shared" ca="1" si="3"/>
        <v>Y</v>
      </c>
      <c r="U15" s="58" t="str">
        <f t="shared" ca="1" si="3"/>
        <v>Y</v>
      </c>
      <c r="V15" s="58" t="str">
        <f t="shared" ca="1" si="3"/>
        <v>Y</v>
      </c>
      <c r="W15" s="58" t="str">
        <f t="shared" ca="1" si="3"/>
        <v>Y</v>
      </c>
      <c r="X15" s="58" t="str">
        <f t="shared" ca="1" si="2"/>
        <v>Y</v>
      </c>
      <c r="Y15" s="58" t="str">
        <f t="shared" ca="1" si="2"/>
        <v>Y</v>
      </c>
      <c r="Z15" s="58" t="str">
        <f t="shared" ca="1" si="2"/>
        <v>Y</v>
      </c>
      <c r="AA15" s="58" t="str">
        <f t="shared" ca="1" si="2"/>
        <v>Y</v>
      </c>
      <c r="AB15" s="58" t="str">
        <f t="shared" ca="1" si="2"/>
        <v>Y</v>
      </c>
      <c r="AC15" s="58" t="str">
        <f t="shared" ca="1" si="2"/>
        <v>Y</v>
      </c>
    </row>
    <row r="16" spans="1:29" ht="14.1" customHeight="1">
      <c r="A16" s="63"/>
      <c r="B16" s="58" t="s">
        <v>101</v>
      </c>
      <c r="C16" s="58" t="str">
        <f>ChkList!$B16</f>
        <v>U-10</v>
      </c>
      <c r="D16" s="59" t="str">
        <f>ChkList!$C16</f>
        <v>/etc/hosts 파일 소유자 및 권한 설정</v>
      </c>
      <c r="E16" s="60" t="str">
        <f>ChkList!$D16</f>
        <v>H</v>
      </c>
      <c r="F16" s="61">
        <f ca="1">COUNTA($L16:INDIRECT(ADDRESS(ROW(),MATCH("",$4:$4,-1),1,1)))</f>
        <v>18</v>
      </c>
      <c r="G16" s="61">
        <f ca="1">COUNTIF($L16:INDIRECT(ADDRESS(ROW(),MATCH("",$4:$4,-1),1,1)),"Y")</f>
        <v>18</v>
      </c>
      <c r="H16" s="61">
        <f ca="1">COUNTIF($L16:INDIRECT(ADDRESS(ROW(),MATCH("",$4:$4,-1),1,1)),"N")</f>
        <v>0</v>
      </c>
      <c r="I16" s="61">
        <f ca="1">COUNTIF($L16:INDIRECT(ADDRESS(ROW(),MATCH("",$4:$4,-1),1,1)),"N/A")</f>
        <v>0</v>
      </c>
      <c r="J16" s="61">
        <f ca="1">VLOOKUP($E16,ChkList!$A$47:$B$49,2,FALSE)*($F16-$I16)</f>
        <v>54</v>
      </c>
      <c r="K16" s="61">
        <f ca="1">VLOOKUP($E16,ChkList!$A$47:$B$49,2,FALSE)*$G16</f>
        <v>54</v>
      </c>
      <c r="L16" s="58" t="str">
        <f t="shared" ca="1" si="2"/>
        <v>Y</v>
      </c>
      <c r="M16" s="58" t="str">
        <f t="shared" ca="1" si="2"/>
        <v>Y</v>
      </c>
      <c r="N16" s="58" t="str">
        <f t="shared" ca="1" si="2"/>
        <v>Y</v>
      </c>
      <c r="O16" s="58" t="str">
        <f t="shared" ca="1" si="3"/>
        <v>Y</v>
      </c>
      <c r="P16" s="58" t="str">
        <f t="shared" ca="1" si="3"/>
        <v>Y</v>
      </c>
      <c r="Q16" s="58" t="str">
        <f t="shared" ca="1" si="3"/>
        <v>Y</v>
      </c>
      <c r="R16" s="58" t="str">
        <f t="shared" ca="1" si="3"/>
        <v>Y</v>
      </c>
      <c r="S16" s="58" t="str">
        <f t="shared" ca="1" si="3"/>
        <v>Y</v>
      </c>
      <c r="T16" s="58" t="str">
        <f t="shared" ca="1" si="3"/>
        <v>Y</v>
      </c>
      <c r="U16" s="58" t="str">
        <f t="shared" ca="1" si="3"/>
        <v>Y</v>
      </c>
      <c r="V16" s="58" t="str">
        <f t="shared" ca="1" si="3"/>
        <v>Y</v>
      </c>
      <c r="W16" s="58" t="str">
        <f t="shared" ca="1" si="3"/>
        <v>Y</v>
      </c>
      <c r="X16" s="58" t="str">
        <f t="shared" ca="1" si="2"/>
        <v>Y</v>
      </c>
      <c r="Y16" s="58" t="str">
        <f t="shared" ca="1" si="2"/>
        <v>Y</v>
      </c>
      <c r="Z16" s="58" t="str">
        <f t="shared" ca="1" si="2"/>
        <v>Y</v>
      </c>
      <c r="AA16" s="58" t="str">
        <f t="shared" ca="1" si="2"/>
        <v>Y</v>
      </c>
      <c r="AB16" s="58" t="str">
        <f t="shared" ca="1" si="2"/>
        <v>Y</v>
      </c>
      <c r="AC16" s="58" t="str">
        <f t="shared" ca="1" si="2"/>
        <v>Y</v>
      </c>
    </row>
    <row r="17" spans="1:29" ht="14.1" customHeight="1">
      <c r="A17" s="63"/>
      <c r="B17" s="58" t="s">
        <v>102</v>
      </c>
      <c r="C17" s="58" t="str">
        <f>ChkList!$B17</f>
        <v>U-11</v>
      </c>
      <c r="D17" s="59" t="str">
        <f>ChkList!$C17</f>
        <v>/etc/(x)inetd.conf 파일 소유자 및 권한 설정</v>
      </c>
      <c r="E17" s="60" t="str">
        <f>ChkList!$D17</f>
        <v>H</v>
      </c>
      <c r="F17" s="61">
        <f ca="1">COUNTA($L17:INDIRECT(ADDRESS(ROW(),MATCH("",$4:$4,-1),1,1)))</f>
        <v>18</v>
      </c>
      <c r="G17" s="61">
        <f ca="1">COUNTIF($L17:INDIRECT(ADDRESS(ROW(),MATCH("",$4:$4,-1),1,1)),"Y")</f>
        <v>18</v>
      </c>
      <c r="H17" s="61">
        <f ca="1">COUNTIF($L17:INDIRECT(ADDRESS(ROW(),MATCH("",$4:$4,-1),1,1)),"N")</f>
        <v>0</v>
      </c>
      <c r="I17" s="61">
        <f ca="1">COUNTIF($L17:INDIRECT(ADDRESS(ROW(),MATCH("",$4:$4,-1),1,1)),"N/A")</f>
        <v>0</v>
      </c>
      <c r="J17" s="61">
        <f ca="1">VLOOKUP($E17,ChkList!$A$47:$B$49,2,FALSE)*($F17-$I17)</f>
        <v>54</v>
      </c>
      <c r="K17" s="61">
        <f ca="1">VLOOKUP($E17,ChkList!$A$47:$B$49,2,FALSE)*$G17</f>
        <v>54</v>
      </c>
      <c r="L17" s="58" t="str">
        <f t="shared" ca="1" si="2"/>
        <v>Y</v>
      </c>
      <c r="M17" s="58" t="str">
        <f t="shared" ca="1" si="2"/>
        <v>Y</v>
      </c>
      <c r="N17" s="58" t="str">
        <f t="shared" ca="1" si="2"/>
        <v>Y</v>
      </c>
      <c r="O17" s="58" t="str">
        <f t="shared" ca="1" si="3"/>
        <v>Y</v>
      </c>
      <c r="P17" s="58" t="str">
        <f t="shared" ca="1" si="3"/>
        <v>Y</v>
      </c>
      <c r="Q17" s="58" t="str">
        <f t="shared" ca="1" si="3"/>
        <v>Y</v>
      </c>
      <c r="R17" s="58" t="str">
        <f t="shared" ca="1" si="3"/>
        <v>Y</v>
      </c>
      <c r="S17" s="58" t="str">
        <f t="shared" ca="1" si="3"/>
        <v>Y</v>
      </c>
      <c r="T17" s="58" t="str">
        <f t="shared" ca="1" si="3"/>
        <v>Y</v>
      </c>
      <c r="U17" s="58" t="str">
        <f t="shared" ca="1" si="3"/>
        <v>Y</v>
      </c>
      <c r="V17" s="58" t="str">
        <f t="shared" ca="1" si="3"/>
        <v>Y</v>
      </c>
      <c r="W17" s="58" t="str">
        <f t="shared" ca="1" si="3"/>
        <v>Y</v>
      </c>
      <c r="X17" s="58" t="str">
        <f t="shared" ca="1" si="2"/>
        <v>Y</v>
      </c>
      <c r="Y17" s="58" t="str">
        <f t="shared" ca="1" si="2"/>
        <v>Y</v>
      </c>
      <c r="Z17" s="58" t="str">
        <f t="shared" ca="1" si="2"/>
        <v>Y</v>
      </c>
      <c r="AA17" s="58" t="str">
        <f t="shared" ca="1" si="2"/>
        <v>Y</v>
      </c>
      <c r="AB17" s="58" t="str">
        <f t="shared" ca="1" si="2"/>
        <v>Y</v>
      </c>
      <c r="AC17" s="58" t="str">
        <f t="shared" ca="1" si="2"/>
        <v>Y</v>
      </c>
    </row>
    <row r="18" spans="1:29" ht="14.1" customHeight="1">
      <c r="A18" s="63"/>
      <c r="B18" s="58" t="s">
        <v>103</v>
      </c>
      <c r="C18" s="58" t="str">
        <f>ChkList!$B18</f>
        <v>U-12</v>
      </c>
      <c r="D18" s="59" t="str">
        <f>ChkList!$C18</f>
        <v>/etc/syslog.conf 파일 소유자 및 권한 설정</v>
      </c>
      <c r="E18" s="60" t="str">
        <f>ChkList!$D18</f>
        <v>H</v>
      </c>
      <c r="F18" s="61">
        <f ca="1">COUNTA($L18:INDIRECT(ADDRESS(ROW(),MATCH("",$4:$4,-1),1,1)))</f>
        <v>18</v>
      </c>
      <c r="G18" s="61">
        <f ca="1">COUNTIF($L18:INDIRECT(ADDRESS(ROW(),MATCH("",$4:$4,-1),1,1)),"Y")</f>
        <v>18</v>
      </c>
      <c r="H18" s="61">
        <f ca="1">COUNTIF($L18:INDIRECT(ADDRESS(ROW(),MATCH("",$4:$4,-1),1,1)),"N")</f>
        <v>0</v>
      </c>
      <c r="I18" s="61">
        <f ca="1">COUNTIF($L18:INDIRECT(ADDRESS(ROW(),MATCH("",$4:$4,-1),1,1)),"N/A")</f>
        <v>0</v>
      </c>
      <c r="J18" s="61">
        <f ca="1">VLOOKUP($E18,ChkList!$A$47:$B$49,2,FALSE)*($F18-$I18)</f>
        <v>54</v>
      </c>
      <c r="K18" s="61">
        <f ca="1">VLOOKUP($E18,ChkList!$A$47:$B$49,2,FALSE)*$G18</f>
        <v>54</v>
      </c>
      <c r="L18" s="58" t="str">
        <f t="shared" ca="1" si="2"/>
        <v>Y</v>
      </c>
      <c r="M18" s="58" t="str">
        <f t="shared" ca="1" si="2"/>
        <v>Y</v>
      </c>
      <c r="N18" s="58" t="str">
        <f t="shared" ca="1" si="2"/>
        <v>Y</v>
      </c>
      <c r="O18" s="58" t="str">
        <f t="shared" ca="1" si="3"/>
        <v>Y</v>
      </c>
      <c r="P18" s="58" t="str">
        <f t="shared" ca="1" si="3"/>
        <v>Y</v>
      </c>
      <c r="Q18" s="58" t="str">
        <f t="shared" ca="1" si="3"/>
        <v>Y</v>
      </c>
      <c r="R18" s="58" t="str">
        <f t="shared" ca="1" si="3"/>
        <v>Y</v>
      </c>
      <c r="S18" s="58" t="str">
        <f t="shared" ca="1" si="3"/>
        <v>Y</v>
      </c>
      <c r="T18" s="58" t="str">
        <f t="shared" ca="1" si="3"/>
        <v>Y</v>
      </c>
      <c r="U18" s="58" t="str">
        <f t="shared" ca="1" si="3"/>
        <v>Y</v>
      </c>
      <c r="V18" s="58" t="str">
        <f t="shared" ca="1" si="3"/>
        <v>Y</v>
      </c>
      <c r="W18" s="58" t="str">
        <f t="shared" ca="1" si="3"/>
        <v>Y</v>
      </c>
      <c r="X18" s="58" t="str">
        <f t="shared" ca="1" si="2"/>
        <v>Y</v>
      </c>
      <c r="Y18" s="58" t="str">
        <f t="shared" ca="1" si="2"/>
        <v>Y</v>
      </c>
      <c r="Z18" s="58" t="str">
        <f t="shared" ca="1" si="2"/>
        <v>Y</v>
      </c>
      <c r="AA18" s="58" t="str">
        <f t="shared" ca="1" si="2"/>
        <v>Y</v>
      </c>
      <c r="AB18" s="58" t="str">
        <f t="shared" ca="1" si="2"/>
        <v>Y</v>
      </c>
      <c r="AC18" s="58" t="str">
        <f t="shared" ca="1" si="2"/>
        <v>Y</v>
      </c>
    </row>
    <row r="19" spans="1:29" ht="14.1" customHeight="1">
      <c r="A19" s="63"/>
      <c r="B19" s="58" t="s">
        <v>104</v>
      </c>
      <c r="C19" s="58" t="str">
        <f>ChkList!$B19</f>
        <v>U-13</v>
      </c>
      <c r="D19" s="59" t="str">
        <f>ChkList!$C19</f>
        <v>/etc/services 파일 소유자 및 권한 설정</v>
      </c>
      <c r="E19" s="60" t="str">
        <f>ChkList!$D19</f>
        <v>H</v>
      </c>
      <c r="F19" s="61">
        <f ca="1">COUNTA($L19:INDIRECT(ADDRESS(ROW(),MATCH("",$4:$4,-1),1,1)))</f>
        <v>18</v>
      </c>
      <c r="G19" s="61">
        <f ca="1">COUNTIF($L19:INDIRECT(ADDRESS(ROW(),MATCH("",$4:$4,-1),1,1)),"Y")</f>
        <v>18</v>
      </c>
      <c r="H19" s="61">
        <f ca="1">COUNTIF($L19:INDIRECT(ADDRESS(ROW(),MATCH("",$4:$4,-1),1,1)),"N")</f>
        <v>0</v>
      </c>
      <c r="I19" s="61">
        <f ca="1">COUNTIF($L19:INDIRECT(ADDRESS(ROW(),MATCH("",$4:$4,-1),1,1)),"N/A")</f>
        <v>0</v>
      </c>
      <c r="J19" s="61">
        <f ca="1">VLOOKUP($E19,ChkList!$A$47:$B$49,2,FALSE)*($F19-$I19)</f>
        <v>54</v>
      </c>
      <c r="K19" s="61">
        <f ca="1">VLOOKUP($E19,ChkList!$A$47:$B$49,2,FALSE)*$G19</f>
        <v>54</v>
      </c>
      <c r="L19" s="58" t="str">
        <f t="shared" ca="1" si="2"/>
        <v>Y</v>
      </c>
      <c r="M19" s="58" t="str">
        <f t="shared" ca="1" si="2"/>
        <v>Y</v>
      </c>
      <c r="N19" s="58" t="str">
        <f t="shared" ca="1" si="2"/>
        <v>Y</v>
      </c>
      <c r="O19" s="58" t="str">
        <f t="shared" ca="1" si="3"/>
        <v>Y</v>
      </c>
      <c r="P19" s="58" t="str">
        <f t="shared" ca="1" si="3"/>
        <v>Y</v>
      </c>
      <c r="Q19" s="58" t="str">
        <f t="shared" ca="1" si="3"/>
        <v>Y</v>
      </c>
      <c r="R19" s="58" t="str">
        <f t="shared" ca="1" si="3"/>
        <v>Y</v>
      </c>
      <c r="S19" s="58" t="str">
        <f t="shared" ca="1" si="3"/>
        <v>Y</v>
      </c>
      <c r="T19" s="58" t="str">
        <f t="shared" ca="1" si="3"/>
        <v>Y</v>
      </c>
      <c r="U19" s="58" t="str">
        <f t="shared" ca="1" si="3"/>
        <v>Y</v>
      </c>
      <c r="V19" s="58" t="str">
        <f t="shared" ca="1" si="3"/>
        <v>Y</v>
      </c>
      <c r="W19" s="58" t="str">
        <f t="shared" ca="1" si="3"/>
        <v>Y</v>
      </c>
      <c r="X19" s="58" t="str">
        <f t="shared" ca="1" si="2"/>
        <v>Y</v>
      </c>
      <c r="Y19" s="58" t="str">
        <f t="shared" ca="1" si="2"/>
        <v>Y</v>
      </c>
      <c r="Z19" s="58" t="str">
        <f t="shared" ca="1" si="2"/>
        <v>Y</v>
      </c>
      <c r="AA19" s="58" t="str">
        <f t="shared" ca="1" si="2"/>
        <v>Y</v>
      </c>
      <c r="AB19" s="58" t="str">
        <f t="shared" ca="1" si="2"/>
        <v>Y</v>
      </c>
      <c r="AC19" s="58" t="str">
        <f t="shared" ca="1" si="2"/>
        <v>Y</v>
      </c>
    </row>
    <row r="20" spans="1:29" ht="14.1" customHeight="1">
      <c r="A20" s="63"/>
      <c r="B20" s="58" t="s">
        <v>105</v>
      </c>
      <c r="C20" s="58" t="str">
        <f>ChkList!$B20</f>
        <v>U-14</v>
      </c>
      <c r="D20" s="59" t="str">
        <f>ChkList!$C20</f>
        <v>SUID, SGID, Sticky bit 설정 파일 점검</v>
      </c>
      <c r="E20" s="60" t="str">
        <f>ChkList!$D20</f>
        <v>H</v>
      </c>
      <c r="F20" s="61">
        <f ca="1">COUNTA($L20:INDIRECT(ADDRESS(ROW(),MATCH("",$4:$4,-1),1,1)))</f>
        <v>18</v>
      </c>
      <c r="G20" s="61">
        <f ca="1">COUNTIF($L20:INDIRECT(ADDRESS(ROW(),MATCH("",$4:$4,-1),1,1)),"Y")</f>
        <v>5</v>
      </c>
      <c r="H20" s="61">
        <f ca="1">COUNTIF($L20:INDIRECT(ADDRESS(ROW(),MATCH("",$4:$4,-1),1,1)),"N")</f>
        <v>13</v>
      </c>
      <c r="I20" s="61">
        <f ca="1">COUNTIF($L20:INDIRECT(ADDRESS(ROW(),MATCH("",$4:$4,-1),1,1)),"N/A")</f>
        <v>0</v>
      </c>
      <c r="J20" s="61">
        <f ca="1">VLOOKUP($E20,ChkList!$A$47:$B$49,2,FALSE)*($F20-$I20)</f>
        <v>54</v>
      </c>
      <c r="K20" s="61">
        <f ca="1">VLOOKUP($E20,ChkList!$A$47:$B$49,2,FALSE)*$G20</f>
        <v>15</v>
      </c>
      <c r="L20" s="58" t="str">
        <f t="shared" ca="1" si="2"/>
        <v>Y</v>
      </c>
      <c r="M20" s="58" t="str">
        <f t="shared" ca="1" si="2"/>
        <v>Y</v>
      </c>
      <c r="N20" s="58" t="str">
        <f t="shared" ca="1" si="2"/>
        <v>Y</v>
      </c>
      <c r="O20" s="58" t="str">
        <f t="shared" ca="1" si="3"/>
        <v>Y</v>
      </c>
      <c r="P20" s="58" t="str">
        <f t="shared" ca="1" si="3"/>
        <v>Y</v>
      </c>
      <c r="Q20" s="58" t="str">
        <f t="shared" ca="1" si="3"/>
        <v>N</v>
      </c>
      <c r="R20" s="58" t="str">
        <f t="shared" ca="1" si="3"/>
        <v>N</v>
      </c>
      <c r="S20" s="58" t="str">
        <f t="shared" ca="1" si="3"/>
        <v>N</v>
      </c>
      <c r="T20" s="58" t="str">
        <f t="shared" ca="1" si="3"/>
        <v>N</v>
      </c>
      <c r="U20" s="58" t="str">
        <f t="shared" ca="1" si="3"/>
        <v>N</v>
      </c>
      <c r="V20" s="58" t="str">
        <f t="shared" ca="1" si="3"/>
        <v>N</v>
      </c>
      <c r="W20" s="58" t="str">
        <f t="shared" ca="1" si="3"/>
        <v>N</v>
      </c>
      <c r="X20" s="58" t="str">
        <f t="shared" ca="1" si="2"/>
        <v>N</v>
      </c>
      <c r="Y20" s="58" t="str">
        <f t="shared" ca="1" si="2"/>
        <v>N</v>
      </c>
      <c r="Z20" s="58" t="str">
        <f t="shared" ca="1" si="2"/>
        <v>N</v>
      </c>
      <c r="AA20" s="58" t="str">
        <f t="shared" ca="1" si="2"/>
        <v>N</v>
      </c>
      <c r="AB20" s="58" t="str">
        <f t="shared" ca="1" si="2"/>
        <v>N</v>
      </c>
      <c r="AC20" s="58" t="str">
        <f t="shared" ca="1" si="2"/>
        <v>N</v>
      </c>
    </row>
    <row r="21" spans="1:29" ht="14.1" customHeight="1">
      <c r="A21" s="63"/>
      <c r="B21" s="58" t="s">
        <v>106</v>
      </c>
      <c r="C21" s="58" t="str">
        <f>ChkList!$B21</f>
        <v>U-15</v>
      </c>
      <c r="D21" s="59" t="str">
        <f>ChkList!$C21</f>
        <v>사용자, 시스템 시작파일 및 환경파일 소유자 및 권한 설정</v>
      </c>
      <c r="E21" s="60" t="str">
        <f>ChkList!$D21</f>
        <v>H</v>
      </c>
      <c r="F21" s="61">
        <f ca="1">COUNTA($L21:INDIRECT(ADDRESS(ROW(),MATCH("",$4:$4,-1),1,1)))</f>
        <v>18</v>
      </c>
      <c r="G21" s="61">
        <f ca="1">COUNTIF($L21:INDIRECT(ADDRESS(ROW(),MATCH("",$4:$4,-1),1,1)),"Y")</f>
        <v>18</v>
      </c>
      <c r="H21" s="61">
        <f ca="1">COUNTIF($L21:INDIRECT(ADDRESS(ROW(),MATCH("",$4:$4,-1),1,1)),"N")</f>
        <v>0</v>
      </c>
      <c r="I21" s="61">
        <f ca="1">COUNTIF($L21:INDIRECT(ADDRESS(ROW(),MATCH("",$4:$4,-1),1,1)),"N/A")</f>
        <v>0</v>
      </c>
      <c r="J21" s="61">
        <f ca="1">VLOOKUP($E21,ChkList!$A$47:$B$49,2,FALSE)*($F21-$I21)</f>
        <v>54</v>
      </c>
      <c r="K21" s="61">
        <f ca="1">VLOOKUP($E21,ChkList!$A$47:$B$49,2,FALSE)*$G21</f>
        <v>54</v>
      </c>
      <c r="L21" s="58" t="str">
        <f t="shared" ca="1" si="2"/>
        <v>Y</v>
      </c>
      <c r="M21" s="58" t="str">
        <f t="shared" ca="1" si="2"/>
        <v>Y</v>
      </c>
      <c r="N21" s="58" t="str">
        <f t="shared" ca="1" si="2"/>
        <v>Y</v>
      </c>
      <c r="O21" s="58" t="str">
        <f t="shared" ca="1" si="3"/>
        <v>Y</v>
      </c>
      <c r="P21" s="58" t="str">
        <f t="shared" ca="1" si="3"/>
        <v>Y</v>
      </c>
      <c r="Q21" s="58" t="str">
        <f t="shared" ca="1" si="3"/>
        <v>Y</v>
      </c>
      <c r="R21" s="58" t="str">
        <f t="shared" ca="1" si="3"/>
        <v>Y</v>
      </c>
      <c r="S21" s="58" t="str">
        <f t="shared" ca="1" si="3"/>
        <v>Y</v>
      </c>
      <c r="T21" s="58" t="str">
        <f t="shared" ca="1" si="3"/>
        <v>Y</v>
      </c>
      <c r="U21" s="58" t="str">
        <f t="shared" ca="1" si="3"/>
        <v>Y</v>
      </c>
      <c r="V21" s="58" t="str">
        <f t="shared" ca="1" si="3"/>
        <v>Y</v>
      </c>
      <c r="W21" s="58" t="str">
        <f t="shared" ca="1" si="3"/>
        <v>Y</v>
      </c>
      <c r="X21" s="58" t="str">
        <f t="shared" ca="1" si="2"/>
        <v>Y</v>
      </c>
      <c r="Y21" s="58" t="str">
        <f t="shared" ca="1" si="2"/>
        <v>Y</v>
      </c>
      <c r="Z21" s="58" t="str">
        <f t="shared" ca="1" si="2"/>
        <v>Y</v>
      </c>
      <c r="AA21" s="58" t="str">
        <f t="shared" ca="1" si="2"/>
        <v>Y</v>
      </c>
      <c r="AB21" s="58" t="str">
        <f t="shared" ca="1" si="2"/>
        <v>Y</v>
      </c>
      <c r="AC21" s="58" t="str">
        <f t="shared" ca="1" si="2"/>
        <v>Y</v>
      </c>
    </row>
    <row r="22" spans="1:29" ht="14.1" customHeight="1">
      <c r="A22" s="63"/>
      <c r="B22" s="58" t="s">
        <v>107</v>
      </c>
      <c r="C22" s="58" t="str">
        <f>ChkList!$B22</f>
        <v>U-16</v>
      </c>
      <c r="D22" s="59" t="str">
        <f>ChkList!$C22</f>
        <v>world writable 파일 점검</v>
      </c>
      <c r="E22" s="60" t="str">
        <f>ChkList!$D22</f>
        <v>H</v>
      </c>
      <c r="F22" s="61">
        <f ca="1">COUNTA($L22:INDIRECT(ADDRESS(ROW(),MATCH("",$4:$4,-1),1,1)))</f>
        <v>18</v>
      </c>
      <c r="G22" s="61">
        <f ca="1">COUNTIF($L22:INDIRECT(ADDRESS(ROW(),MATCH("",$4:$4,-1),1,1)),"Y")</f>
        <v>16</v>
      </c>
      <c r="H22" s="61">
        <f ca="1">COUNTIF($L22:INDIRECT(ADDRESS(ROW(),MATCH("",$4:$4,-1),1,1)),"N")</f>
        <v>2</v>
      </c>
      <c r="I22" s="61">
        <f ca="1">COUNTIF($L22:INDIRECT(ADDRESS(ROW(),MATCH("",$4:$4,-1),1,1)),"N/A")</f>
        <v>0</v>
      </c>
      <c r="J22" s="61">
        <f ca="1">VLOOKUP($E22,ChkList!$A$47:$B$49,2,FALSE)*($F22-$I22)</f>
        <v>54</v>
      </c>
      <c r="K22" s="61">
        <f ca="1">VLOOKUP($E22,ChkList!$A$47:$B$49,2,FALSE)*$G22</f>
        <v>48</v>
      </c>
      <c r="L22" s="58" t="str">
        <f t="shared" ca="1" si="2"/>
        <v>Y</v>
      </c>
      <c r="M22" s="58" t="str">
        <f t="shared" ca="1" si="2"/>
        <v>Y</v>
      </c>
      <c r="N22" s="58" t="str">
        <f t="shared" ca="1" si="2"/>
        <v>Y</v>
      </c>
      <c r="O22" s="58" t="str">
        <f t="shared" ca="1" si="3"/>
        <v>N</v>
      </c>
      <c r="P22" s="58" t="str">
        <f t="shared" ca="1" si="3"/>
        <v>N</v>
      </c>
      <c r="Q22" s="58" t="str">
        <f t="shared" ca="1" si="3"/>
        <v>Y</v>
      </c>
      <c r="R22" s="58" t="str">
        <f t="shared" ca="1" si="3"/>
        <v>Y</v>
      </c>
      <c r="S22" s="58" t="str">
        <f t="shared" ca="1" si="3"/>
        <v>Y</v>
      </c>
      <c r="T22" s="58" t="str">
        <f t="shared" ca="1" si="3"/>
        <v>Y</v>
      </c>
      <c r="U22" s="58" t="str">
        <f t="shared" ca="1" si="3"/>
        <v>Y</v>
      </c>
      <c r="V22" s="58" t="str">
        <f t="shared" ca="1" si="3"/>
        <v>Y</v>
      </c>
      <c r="W22" s="58" t="str">
        <f t="shared" ca="1" si="3"/>
        <v>Y</v>
      </c>
      <c r="X22" s="58" t="str">
        <f t="shared" ca="1" si="2"/>
        <v>Y</v>
      </c>
      <c r="Y22" s="58" t="str">
        <f t="shared" ca="1" si="2"/>
        <v>Y</v>
      </c>
      <c r="Z22" s="58" t="str">
        <f t="shared" ca="1" si="2"/>
        <v>Y</v>
      </c>
      <c r="AA22" s="58" t="str">
        <f t="shared" ca="1" si="2"/>
        <v>Y</v>
      </c>
      <c r="AB22" s="58" t="str">
        <f t="shared" ca="1" si="2"/>
        <v>Y</v>
      </c>
      <c r="AC22" s="58" t="str">
        <f t="shared" ca="1" si="2"/>
        <v>Y</v>
      </c>
    </row>
    <row r="23" spans="1:29" ht="14.1" customHeight="1">
      <c r="A23" s="63"/>
      <c r="B23" s="58" t="s">
        <v>108</v>
      </c>
      <c r="C23" s="58" t="str">
        <f>ChkList!$B23</f>
        <v>U-17</v>
      </c>
      <c r="D23" s="59" t="str">
        <f>ChkList!$C23</f>
        <v>$HOME/.rhosts, hosts.equiv 사용 금지</v>
      </c>
      <c r="E23" s="60" t="str">
        <f>ChkList!$D23</f>
        <v>H</v>
      </c>
      <c r="F23" s="61">
        <f ca="1">COUNTA($L23:INDIRECT(ADDRESS(ROW(),MATCH("",$4:$4,-1),1,1)))</f>
        <v>18</v>
      </c>
      <c r="G23" s="61">
        <f ca="1">COUNTIF($L23:INDIRECT(ADDRESS(ROW(),MATCH("",$4:$4,-1),1,1)),"Y")</f>
        <v>18</v>
      </c>
      <c r="H23" s="61">
        <f ca="1">COUNTIF($L23:INDIRECT(ADDRESS(ROW(),MATCH("",$4:$4,-1),1,1)),"N")</f>
        <v>0</v>
      </c>
      <c r="I23" s="61">
        <f ca="1">COUNTIF($L23:INDIRECT(ADDRESS(ROW(),MATCH("",$4:$4,-1),1,1)),"N/A")</f>
        <v>0</v>
      </c>
      <c r="J23" s="61">
        <f ca="1">VLOOKUP($E23,ChkList!$A$47:$B$49,2,FALSE)*($F23-$I23)</f>
        <v>54</v>
      </c>
      <c r="K23" s="61">
        <f ca="1">VLOOKUP($E23,ChkList!$A$47:$B$49,2,FALSE)*$G23</f>
        <v>54</v>
      </c>
      <c r="L23" s="58" t="str">
        <f t="shared" ca="1" si="2"/>
        <v>Y</v>
      </c>
      <c r="M23" s="58" t="str">
        <f t="shared" ca="1" si="2"/>
        <v>Y</v>
      </c>
      <c r="N23" s="58" t="str">
        <f t="shared" ca="1" si="2"/>
        <v>Y</v>
      </c>
      <c r="O23" s="58" t="str">
        <f t="shared" ca="1" si="3"/>
        <v>Y</v>
      </c>
      <c r="P23" s="58" t="str">
        <f t="shared" ca="1" si="3"/>
        <v>Y</v>
      </c>
      <c r="Q23" s="58" t="str">
        <f t="shared" ca="1" si="3"/>
        <v>Y</v>
      </c>
      <c r="R23" s="58" t="str">
        <f t="shared" ca="1" si="3"/>
        <v>Y</v>
      </c>
      <c r="S23" s="58" t="str">
        <f t="shared" ca="1" si="3"/>
        <v>Y</v>
      </c>
      <c r="T23" s="58" t="str">
        <f t="shared" ca="1" si="3"/>
        <v>Y</v>
      </c>
      <c r="U23" s="58" t="str">
        <f t="shared" ca="1" si="3"/>
        <v>Y</v>
      </c>
      <c r="V23" s="58" t="str">
        <f t="shared" ca="1" si="3"/>
        <v>Y</v>
      </c>
      <c r="W23" s="58" t="str">
        <f t="shared" ca="1" si="3"/>
        <v>Y</v>
      </c>
      <c r="X23" s="58" t="str">
        <f t="shared" ca="1" si="2"/>
        <v>Y</v>
      </c>
      <c r="Y23" s="58" t="str">
        <f t="shared" ca="1" si="2"/>
        <v>Y</v>
      </c>
      <c r="Z23" s="58" t="str">
        <f t="shared" ca="1" si="2"/>
        <v>Y</v>
      </c>
      <c r="AA23" s="58" t="str">
        <f t="shared" ca="1" si="2"/>
        <v>Y</v>
      </c>
      <c r="AB23" s="58" t="str">
        <f t="shared" ca="1" si="2"/>
        <v>Y</v>
      </c>
      <c r="AC23" s="58" t="str">
        <f t="shared" ca="1" si="2"/>
        <v>Y</v>
      </c>
    </row>
    <row r="24" spans="1:29" ht="14.1" customHeight="1">
      <c r="A24" s="63"/>
      <c r="B24" s="58" t="s">
        <v>109</v>
      </c>
      <c r="C24" s="58" t="str">
        <f>ChkList!$B24</f>
        <v>U-18</v>
      </c>
      <c r="D24" s="59" t="str">
        <f>ChkList!$C24</f>
        <v>접속 IP 및 포트 제한</v>
      </c>
      <c r="E24" s="60" t="str">
        <f>ChkList!$D24</f>
        <v>H</v>
      </c>
      <c r="F24" s="61">
        <f ca="1">COUNTA($L24:INDIRECT(ADDRESS(ROW(),MATCH("",$4:$4,-1),1,1)))</f>
        <v>18</v>
      </c>
      <c r="G24" s="61">
        <f ca="1">COUNTIF($L24:INDIRECT(ADDRESS(ROW(),MATCH("",$4:$4,-1),1,1)),"Y")</f>
        <v>0</v>
      </c>
      <c r="H24" s="61">
        <f ca="1">COUNTIF($L24:INDIRECT(ADDRESS(ROW(),MATCH("",$4:$4,-1),1,1)),"N")</f>
        <v>18</v>
      </c>
      <c r="I24" s="61">
        <f ca="1">COUNTIF($L24:INDIRECT(ADDRESS(ROW(),MATCH("",$4:$4,-1),1,1)),"N/A")</f>
        <v>0</v>
      </c>
      <c r="J24" s="61">
        <f ca="1">VLOOKUP($E24,ChkList!$A$47:$B$49,2,FALSE)*($F24-$I24)</f>
        <v>54</v>
      </c>
      <c r="K24" s="61">
        <f ca="1">VLOOKUP($E24,ChkList!$A$47:$B$49,2,FALSE)*$G24</f>
        <v>0</v>
      </c>
      <c r="L24" s="58" t="str">
        <f t="shared" ca="1" si="2"/>
        <v>N</v>
      </c>
      <c r="M24" s="58" t="str">
        <f t="shared" ca="1" si="2"/>
        <v>N</v>
      </c>
      <c r="N24" s="58" t="str">
        <f t="shared" ca="1" si="2"/>
        <v>N</v>
      </c>
      <c r="O24" s="58" t="str">
        <f t="shared" ca="1" si="3"/>
        <v>N</v>
      </c>
      <c r="P24" s="58" t="str">
        <f t="shared" ca="1" si="3"/>
        <v>N</v>
      </c>
      <c r="Q24" s="58" t="str">
        <f t="shared" ca="1" si="3"/>
        <v>N</v>
      </c>
      <c r="R24" s="58" t="str">
        <f t="shared" ca="1" si="3"/>
        <v>N</v>
      </c>
      <c r="S24" s="58" t="str">
        <f t="shared" ca="1" si="3"/>
        <v>N</v>
      </c>
      <c r="T24" s="58" t="str">
        <f t="shared" ca="1" si="3"/>
        <v>N</v>
      </c>
      <c r="U24" s="58" t="str">
        <f t="shared" ca="1" si="3"/>
        <v>N</v>
      </c>
      <c r="V24" s="58" t="str">
        <f t="shared" ca="1" si="3"/>
        <v>N</v>
      </c>
      <c r="W24" s="58" t="str">
        <f t="shared" ca="1" si="3"/>
        <v>N</v>
      </c>
      <c r="X24" s="58" t="str">
        <f t="shared" ca="1" si="2"/>
        <v>N</v>
      </c>
      <c r="Y24" s="58" t="str">
        <f t="shared" ca="1" si="2"/>
        <v>N</v>
      </c>
      <c r="Z24" s="58" t="str">
        <f t="shared" ca="1" si="2"/>
        <v>N</v>
      </c>
      <c r="AA24" s="58" t="str">
        <f t="shared" ca="1" si="2"/>
        <v>N</v>
      </c>
      <c r="AB24" s="58" t="str">
        <f t="shared" ca="1" si="2"/>
        <v>N</v>
      </c>
      <c r="AC24" s="58" t="str">
        <f t="shared" ca="1" si="2"/>
        <v>N</v>
      </c>
    </row>
    <row r="25" spans="1:29" ht="14.1" customHeight="1">
      <c r="A25" s="63"/>
      <c r="B25" s="58" t="s">
        <v>166</v>
      </c>
      <c r="C25" s="58" t="str">
        <f>ChkList!$B25</f>
        <v>U-19</v>
      </c>
      <c r="D25" s="59" t="str">
        <f>ChkList!$C25</f>
        <v>cron 파일 소유자 및 권한 설정</v>
      </c>
      <c r="E25" s="60" t="str">
        <f>ChkList!$D25</f>
        <v>H</v>
      </c>
      <c r="F25" s="61">
        <f ca="1">COUNTA($L25:INDIRECT(ADDRESS(ROW(),MATCH("",$4:$4,-1),1,1)))</f>
        <v>18</v>
      </c>
      <c r="G25" s="61">
        <f ca="1">COUNTIF($L25:INDIRECT(ADDRESS(ROW(),MATCH("",$4:$4,-1),1,1)),"Y")</f>
        <v>18</v>
      </c>
      <c r="H25" s="61">
        <f ca="1">COUNTIF($L25:INDIRECT(ADDRESS(ROW(),MATCH("",$4:$4,-1),1,1)),"N")</f>
        <v>0</v>
      </c>
      <c r="I25" s="61">
        <f ca="1">COUNTIF($L25:INDIRECT(ADDRESS(ROW(),MATCH("",$4:$4,-1),1,1)),"N/A")</f>
        <v>0</v>
      </c>
      <c r="J25" s="61">
        <f ca="1">VLOOKUP($E25,ChkList!$A$47:$B$49,2,FALSE)*($F25-$I25)</f>
        <v>54</v>
      </c>
      <c r="K25" s="61">
        <f ca="1">VLOOKUP($E25,ChkList!$A$47:$B$49,2,FALSE)*$G25</f>
        <v>54</v>
      </c>
      <c r="L25" s="58" t="str">
        <f t="shared" ca="1" si="2"/>
        <v>Y</v>
      </c>
      <c r="M25" s="58" t="str">
        <f t="shared" ca="1" si="2"/>
        <v>Y</v>
      </c>
      <c r="N25" s="58" t="str">
        <f t="shared" ca="1" si="2"/>
        <v>Y</v>
      </c>
      <c r="O25" s="58" t="str">
        <f t="shared" ca="1" si="3"/>
        <v>Y</v>
      </c>
      <c r="P25" s="58" t="str">
        <f t="shared" ca="1" si="3"/>
        <v>Y</v>
      </c>
      <c r="Q25" s="58" t="str">
        <f t="shared" ca="1" si="3"/>
        <v>Y</v>
      </c>
      <c r="R25" s="58" t="str">
        <f t="shared" ca="1" si="3"/>
        <v>Y</v>
      </c>
      <c r="S25" s="58" t="str">
        <f t="shared" ca="1" si="3"/>
        <v>Y</v>
      </c>
      <c r="T25" s="58" t="str">
        <f t="shared" ca="1" si="3"/>
        <v>Y</v>
      </c>
      <c r="U25" s="58" t="str">
        <f t="shared" ca="1" si="3"/>
        <v>Y</v>
      </c>
      <c r="V25" s="58" t="str">
        <f t="shared" ca="1" si="3"/>
        <v>Y</v>
      </c>
      <c r="W25" s="58" t="str">
        <f t="shared" ca="1" si="3"/>
        <v>Y</v>
      </c>
      <c r="X25" s="58" t="str">
        <f t="shared" ca="1" si="2"/>
        <v>Y</v>
      </c>
      <c r="Y25" s="58" t="str">
        <f t="shared" ca="1" si="2"/>
        <v>Y</v>
      </c>
      <c r="Z25" s="58" t="str">
        <f t="shared" ca="1" si="2"/>
        <v>Y</v>
      </c>
      <c r="AA25" s="58" t="str">
        <f t="shared" ca="1" si="2"/>
        <v>Y</v>
      </c>
      <c r="AB25" s="58" t="str">
        <f t="shared" ref="AB25:AC25" ca="1" si="4">IFERROR(INDIRECT(ADDRESS(ROW()+15,10,1,TRUE,AB$4)),"")</f>
        <v>Y</v>
      </c>
      <c r="AC25" s="58" t="str">
        <f t="shared" ca="1" si="4"/>
        <v>Y</v>
      </c>
    </row>
    <row r="26" spans="1:29" ht="14.1" customHeight="1">
      <c r="A26" s="52" t="str">
        <f>ChkList!$A$26</f>
        <v>U3</v>
      </c>
      <c r="B26" s="53"/>
      <c r="C26" s="54" t="str">
        <f>VLOOKUP($A26,ChkList!$A$5:$B$44,2,FALSE)</f>
        <v>서비스 관리</v>
      </c>
      <c r="D26" s="55"/>
      <c r="E26" s="56"/>
      <c r="F26" s="55"/>
      <c r="G26" s="55"/>
      <c r="H26" s="55"/>
      <c r="I26" s="55"/>
      <c r="J26" s="55"/>
      <c r="K26" s="55"/>
      <c r="L26" s="57"/>
      <c r="M26" s="57"/>
      <c r="N26" s="57"/>
      <c r="O26" s="57"/>
      <c r="P26" s="57"/>
      <c r="Q26" s="57"/>
      <c r="R26" s="57"/>
      <c r="S26" s="57"/>
      <c r="T26" s="57"/>
      <c r="U26" s="57"/>
      <c r="V26" s="57"/>
      <c r="W26" s="57"/>
      <c r="X26" s="57"/>
      <c r="Y26" s="57"/>
      <c r="Z26" s="57"/>
      <c r="AA26" s="57"/>
      <c r="AB26" s="57"/>
      <c r="AC26" s="57"/>
    </row>
    <row r="27" spans="1:29" ht="14.1" customHeight="1">
      <c r="A27" s="58"/>
      <c r="B27" s="58" t="s">
        <v>130</v>
      </c>
      <c r="C27" s="58" t="str">
        <f>ChkList!$B27</f>
        <v>U-20</v>
      </c>
      <c r="D27" s="59" t="str">
        <f>ChkList!$C27</f>
        <v>Finger 서비스 비활성화</v>
      </c>
      <c r="E27" s="60" t="str">
        <f>ChkList!$D27</f>
        <v>H</v>
      </c>
      <c r="F27" s="61">
        <f ca="1">COUNTA($L27:INDIRECT(ADDRESS(ROW(),MATCH("",$4:$4,-1),1,1)))</f>
        <v>18</v>
      </c>
      <c r="G27" s="61">
        <f ca="1">COUNTIF($L27:INDIRECT(ADDRESS(ROW(),MATCH("",$4:$4,-1),1,1)),"Y")</f>
        <v>18</v>
      </c>
      <c r="H27" s="61">
        <f ca="1">COUNTIF($L27:INDIRECT(ADDRESS(ROW(),MATCH("",$4:$4,-1),1,1)),"N")</f>
        <v>0</v>
      </c>
      <c r="I27" s="61">
        <f ca="1">COUNTIF($L27:INDIRECT(ADDRESS(ROW(),MATCH("",$4:$4,-1),1,1)),"N/A")</f>
        <v>0</v>
      </c>
      <c r="J27" s="61">
        <f ca="1">VLOOKUP($E27,ChkList!$A$47:$B$49,2,FALSE)*($F27-$I27)</f>
        <v>54</v>
      </c>
      <c r="K27" s="61">
        <f ca="1">VLOOKUP($E27,ChkList!$A$47:$B$49,2,FALSE)*$G27</f>
        <v>54</v>
      </c>
      <c r="L27" s="58" t="str">
        <f t="shared" ref="L27:AC41" ca="1" si="5">IFERROR(INDIRECT(ADDRESS(ROW()+15,10,1,TRUE,L$4)),"")</f>
        <v>Y</v>
      </c>
      <c r="M27" s="58" t="str">
        <f t="shared" ca="1" si="5"/>
        <v>Y</v>
      </c>
      <c r="N27" s="58" t="str">
        <f t="shared" ca="1" si="5"/>
        <v>Y</v>
      </c>
      <c r="O27" s="58" t="str">
        <f t="shared" ref="O27:W41" ca="1" si="6">IFERROR(INDIRECT(ADDRESS(ROW()+15,10,1,TRUE,O$4)),"")</f>
        <v>Y</v>
      </c>
      <c r="P27" s="58" t="str">
        <f t="shared" ca="1" si="6"/>
        <v>Y</v>
      </c>
      <c r="Q27" s="58" t="str">
        <f t="shared" ca="1" si="6"/>
        <v>Y</v>
      </c>
      <c r="R27" s="58" t="str">
        <f t="shared" ca="1" si="6"/>
        <v>Y</v>
      </c>
      <c r="S27" s="58" t="str">
        <f t="shared" ca="1" si="6"/>
        <v>Y</v>
      </c>
      <c r="T27" s="58" t="str">
        <f t="shared" ca="1" si="6"/>
        <v>Y</v>
      </c>
      <c r="U27" s="58" t="str">
        <f t="shared" ca="1" si="6"/>
        <v>Y</v>
      </c>
      <c r="V27" s="58" t="str">
        <f t="shared" ca="1" si="6"/>
        <v>Y</v>
      </c>
      <c r="W27" s="58" t="str">
        <f t="shared" ca="1" si="6"/>
        <v>Y</v>
      </c>
      <c r="X27" s="58" t="str">
        <f t="shared" ca="1" si="5"/>
        <v>Y</v>
      </c>
      <c r="Y27" s="58" t="str">
        <f t="shared" ca="1" si="5"/>
        <v>Y</v>
      </c>
      <c r="Z27" s="58" t="str">
        <f t="shared" ca="1" si="5"/>
        <v>Y</v>
      </c>
      <c r="AA27" s="58" t="str">
        <f t="shared" ca="1" si="5"/>
        <v>Y</v>
      </c>
      <c r="AB27" s="58" t="str">
        <f t="shared" ca="1" si="5"/>
        <v>Y</v>
      </c>
      <c r="AC27" s="58" t="str">
        <f t="shared" ca="1" si="5"/>
        <v>Y</v>
      </c>
    </row>
    <row r="28" spans="1:29" ht="14.1" customHeight="1">
      <c r="A28" s="63"/>
      <c r="B28" s="58" t="s">
        <v>111</v>
      </c>
      <c r="C28" s="58" t="str">
        <f>ChkList!$B28</f>
        <v>U-21</v>
      </c>
      <c r="D28" s="59" t="str">
        <f>ChkList!$C28</f>
        <v>Anonymous FTP 비활성화</v>
      </c>
      <c r="E28" s="60" t="str">
        <f>ChkList!$D28</f>
        <v>H</v>
      </c>
      <c r="F28" s="61">
        <f ca="1">COUNTA($L28:INDIRECT(ADDRESS(ROW(),MATCH("",$4:$4,-1),1,1)))</f>
        <v>18</v>
      </c>
      <c r="G28" s="61">
        <f ca="1">COUNTIF($L28:INDIRECT(ADDRESS(ROW(),MATCH("",$4:$4,-1),1,1)),"Y")</f>
        <v>17</v>
      </c>
      <c r="H28" s="61">
        <f ca="1">COUNTIF($L28:INDIRECT(ADDRESS(ROW(),MATCH("",$4:$4,-1),1,1)),"N")</f>
        <v>1</v>
      </c>
      <c r="I28" s="61">
        <f ca="1">COUNTIF($L28:INDIRECT(ADDRESS(ROW(),MATCH("",$4:$4,-1),1,1)),"N/A")</f>
        <v>0</v>
      </c>
      <c r="J28" s="61">
        <f ca="1">VLOOKUP($E28,ChkList!$A$47:$B$49,2,FALSE)*($F28-$I28)</f>
        <v>54</v>
      </c>
      <c r="K28" s="61">
        <f ca="1">VLOOKUP($E28,ChkList!$A$47:$B$49,2,FALSE)*$G28</f>
        <v>51</v>
      </c>
      <c r="L28" s="58" t="str">
        <f t="shared" ca="1" si="5"/>
        <v>Y</v>
      </c>
      <c r="M28" s="58" t="str">
        <f t="shared" ca="1" si="5"/>
        <v>Y</v>
      </c>
      <c r="N28" s="58" t="str">
        <f t="shared" ca="1" si="5"/>
        <v>N</v>
      </c>
      <c r="O28" s="58" t="str">
        <f t="shared" ca="1" si="6"/>
        <v>Y</v>
      </c>
      <c r="P28" s="58" t="str">
        <f t="shared" ca="1" si="6"/>
        <v>Y</v>
      </c>
      <c r="Q28" s="58" t="str">
        <f t="shared" ca="1" si="6"/>
        <v>Y</v>
      </c>
      <c r="R28" s="58" t="str">
        <f t="shared" ca="1" si="6"/>
        <v>Y</v>
      </c>
      <c r="S28" s="58" t="str">
        <f t="shared" ca="1" si="6"/>
        <v>Y</v>
      </c>
      <c r="T28" s="58" t="str">
        <f t="shared" ca="1" si="6"/>
        <v>Y</v>
      </c>
      <c r="U28" s="58" t="str">
        <f t="shared" ca="1" si="6"/>
        <v>Y</v>
      </c>
      <c r="V28" s="58" t="str">
        <f t="shared" ca="1" si="6"/>
        <v>Y</v>
      </c>
      <c r="W28" s="58" t="str">
        <f t="shared" ca="1" si="6"/>
        <v>Y</v>
      </c>
      <c r="X28" s="58" t="str">
        <f t="shared" ca="1" si="5"/>
        <v>Y</v>
      </c>
      <c r="Y28" s="58" t="str">
        <f t="shared" ca="1" si="5"/>
        <v>Y</v>
      </c>
      <c r="Z28" s="58" t="str">
        <f t="shared" ca="1" si="5"/>
        <v>Y</v>
      </c>
      <c r="AA28" s="58" t="str">
        <f t="shared" ca="1" si="5"/>
        <v>Y</v>
      </c>
      <c r="AB28" s="58" t="str">
        <f t="shared" ca="1" si="5"/>
        <v>Y</v>
      </c>
      <c r="AC28" s="58" t="str">
        <f t="shared" ca="1" si="5"/>
        <v>Y</v>
      </c>
    </row>
    <row r="29" spans="1:29" ht="14.1" customHeight="1">
      <c r="A29" s="63"/>
      <c r="B29" s="58" t="s">
        <v>112</v>
      </c>
      <c r="C29" s="58" t="str">
        <f>ChkList!$B29</f>
        <v>U-22</v>
      </c>
      <c r="D29" s="59" t="str">
        <f>ChkList!$C29</f>
        <v>r 계열 서비스 비활성화</v>
      </c>
      <c r="E29" s="60" t="str">
        <f>ChkList!$D29</f>
        <v>H</v>
      </c>
      <c r="F29" s="61">
        <f ca="1">COUNTA($L29:INDIRECT(ADDRESS(ROW(),MATCH("",$4:$4,-1),1,1)))</f>
        <v>18</v>
      </c>
      <c r="G29" s="61">
        <f ca="1">COUNTIF($L29:INDIRECT(ADDRESS(ROW(),MATCH("",$4:$4,-1),1,1)),"Y")</f>
        <v>18</v>
      </c>
      <c r="H29" s="61">
        <f ca="1">COUNTIF($L29:INDIRECT(ADDRESS(ROW(),MATCH("",$4:$4,-1),1,1)),"N")</f>
        <v>0</v>
      </c>
      <c r="I29" s="61">
        <f ca="1">COUNTIF($L29:INDIRECT(ADDRESS(ROW(),MATCH("",$4:$4,-1),1,1)),"N/A")</f>
        <v>0</v>
      </c>
      <c r="J29" s="61">
        <f ca="1">VLOOKUP($E29,ChkList!$A$47:$B$49,2,FALSE)*($F29-$I29)</f>
        <v>54</v>
      </c>
      <c r="K29" s="61">
        <f ca="1">VLOOKUP($E29,ChkList!$A$47:$B$49,2,FALSE)*$G29</f>
        <v>54</v>
      </c>
      <c r="L29" s="58" t="str">
        <f t="shared" ca="1" si="5"/>
        <v>Y</v>
      </c>
      <c r="M29" s="58" t="str">
        <f t="shared" ca="1" si="5"/>
        <v>Y</v>
      </c>
      <c r="N29" s="58" t="str">
        <f t="shared" ca="1" si="5"/>
        <v>Y</v>
      </c>
      <c r="O29" s="58" t="str">
        <f t="shared" ca="1" si="6"/>
        <v>Y</v>
      </c>
      <c r="P29" s="58" t="str">
        <f t="shared" ca="1" si="6"/>
        <v>Y</v>
      </c>
      <c r="Q29" s="58" t="str">
        <f t="shared" ca="1" si="6"/>
        <v>Y</v>
      </c>
      <c r="R29" s="58" t="str">
        <f t="shared" ca="1" si="6"/>
        <v>Y</v>
      </c>
      <c r="S29" s="58" t="str">
        <f t="shared" ca="1" si="6"/>
        <v>Y</v>
      </c>
      <c r="T29" s="58" t="str">
        <f t="shared" ca="1" si="6"/>
        <v>Y</v>
      </c>
      <c r="U29" s="58" t="str">
        <f t="shared" ca="1" si="6"/>
        <v>Y</v>
      </c>
      <c r="V29" s="58" t="str">
        <f t="shared" ca="1" si="6"/>
        <v>Y</v>
      </c>
      <c r="W29" s="58" t="str">
        <f t="shared" ca="1" si="6"/>
        <v>Y</v>
      </c>
      <c r="X29" s="58" t="str">
        <f t="shared" ca="1" si="5"/>
        <v>Y</v>
      </c>
      <c r="Y29" s="58" t="str">
        <f t="shared" ca="1" si="5"/>
        <v>Y</v>
      </c>
      <c r="Z29" s="58" t="str">
        <f t="shared" ca="1" si="5"/>
        <v>Y</v>
      </c>
      <c r="AA29" s="58" t="str">
        <f t="shared" ca="1" si="5"/>
        <v>Y</v>
      </c>
      <c r="AB29" s="58" t="str">
        <f t="shared" ca="1" si="5"/>
        <v>Y</v>
      </c>
      <c r="AC29" s="58" t="str">
        <f t="shared" ca="1" si="5"/>
        <v>Y</v>
      </c>
    </row>
    <row r="30" spans="1:29" ht="14.1" customHeight="1">
      <c r="A30" s="63"/>
      <c r="B30" s="58" t="s">
        <v>113</v>
      </c>
      <c r="C30" s="58" t="str">
        <f>ChkList!$B30</f>
        <v>U-23</v>
      </c>
      <c r="D30" s="59" t="str">
        <f>ChkList!$C30</f>
        <v>DoS 공격에 취약한 서비스 비활성화</v>
      </c>
      <c r="E30" s="60" t="str">
        <f>ChkList!$D30</f>
        <v>H</v>
      </c>
      <c r="F30" s="61">
        <f ca="1">COUNTA($L30:INDIRECT(ADDRESS(ROW(),MATCH("",$4:$4,-1),1,1)))</f>
        <v>18</v>
      </c>
      <c r="G30" s="61">
        <f ca="1">COUNTIF($L30:INDIRECT(ADDRESS(ROW(),MATCH("",$4:$4,-1),1,1)),"Y")</f>
        <v>18</v>
      </c>
      <c r="H30" s="61">
        <f ca="1">COUNTIF($L30:INDIRECT(ADDRESS(ROW(),MATCH("",$4:$4,-1),1,1)),"N")</f>
        <v>0</v>
      </c>
      <c r="I30" s="61">
        <f ca="1">COUNTIF($L30:INDIRECT(ADDRESS(ROW(),MATCH("",$4:$4,-1),1,1)),"N/A")</f>
        <v>0</v>
      </c>
      <c r="J30" s="61">
        <f ca="1">VLOOKUP($E30,ChkList!$A$47:$B$49,2,FALSE)*($F30-$I30)</f>
        <v>54</v>
      </c>
      <c r="K30" s="61">
        <f ca="1">VLOOKUP($E30,ChkList!$A$47:$B$49,2,FALSE)*$G30</f>
        <v>54</v>
      </c>
      <c r="L30" s="58" t="str">
        <f t="shared" ca="1" si="5"/>
        <v>Y</v>
      </c>
      <c r="M30" s="58" t="str">
        <f t="shared" ca="1" si="5"/>
        <v>Y</v>
      </c>
      <c r="N30" s="58" t="str">
        <f t="shared" ca="1" si="5"/>
        <v>Y</v>
      </c>
      <c r="O30" s="58" t="str">
        <f t="shared" ca="1" si="6"/>
        <v>Y</v>
      </c>
      <c r="P30" s="58" t="str">
        <f t="shared" ca="1" si="6"/>
        <v>Y</v>
      </c>
      <c r="Q30" s="58" t="str">
        <f t="shared" ca="1" si="6"/>
        <v>Y</v>
      </c>
      <c r="R30" s="58" t="str">
        <f t="shared" ca="1" si="6"/>
        <v>Y</v>
      </c>
      <c r="S30" s="58" t="str">
        <f t="shared" ca="1" si="6"/>
        <v>Y</v>
      </c>
      <c r="T30" s="58" t="str">
        <f t="shared" ca="1" si="6"/>
        <v>Y</v>
      </c>
      <c r="U30" s="58" t="str">
        <f t="shared" ca="1" si="6"/>
        <v>Y</v>
      </c>
      <c r="V30" s="58" t="str">
        <f t="shared" ca="1" si="6"/>
        <v>Y</v>
      </c>
      <c r="W30" s="58" t="str">
        <f t="shared" ca="1" si="6"/>
        <v>Y</v>
      </c>
      <c r="X30" s="58" t="str">
        <f t="shared" ca="1" si="5"/>
        <v>Y</v>
      </c>
      <c r="Y30" s="58" t="str">
        <f t="shared" ca="1" si="5"/>
        <v>Y</v>
      </c>
      <c r="Z30" s="58" t="str">
        <f t="shared" ca="1" si="5"/>
        <v>Y</v>
      </c>
      <c r="AA30" s="58" t="str">
        <f t="shared" ca="1" si="5"/>
        <v>Y</v>
      </c>
      <c r="AB30" s="58" t="str">
        <f t="shared" ca="1" si="5"/>
        <v>Y</v>
      </c>
      <c r="AC30" s="58" t="str">
        <f t="shared" ca="1" si="5"/>
        <v>Y</v>
      </c>
    </row>
    <row r="31" spans="1:29" ht="14.1" customHeight="1">
      <c r="A31" s="63"/>
      <c r="B31" s="58" t="s">
        <v>114</v>
      </c>
      <c r="C31" s="58" t="str">
        <f>ChkList!$B31</f>
        <v>U-24</v>
      </c>
      <c r="D31" s="59" t="str">
        <f>ChkList!$C31</f>
        <v>NFS 서비스 비활성화</v>
      </c>
      <c r="E31" s="60" t="str">
        <f>ChkList!$D31</f>
        <v>H</v>
      </c>
      <c r="F31" s="61">
        <f ca="1">COUNTA($L31:INDIRECT(ADDRESS(ROW(),MATCH("",$4:$4,-1),1,1)))</f>
        <v>18</v>
      </c>
      <c r="G31" s="61">
        <f ca="1">COUNTIF($L31:INDIRECT(ADDRESS(ROW(),MATCH("",$4:$4,-1),1,1)),"Y")</f>
        <v>18</v>
      </c>
      <c r="H31" s="61">
        <f ca="1">COUNTIF($L31:INDIRECT(ADDRESS(ROW(),MATCH("",$4:$4,-1),1,1)),"N")</f>
        <v>0</v>
      </c>
      <c r="I31" s="61">
        <f ca="1">COUNTIF($L31:INDIRECT(ADDRESS(ROW(),MATCH("",$4:$4,-1),1,1)),"N/A")</f>
        <v>0</v>
      </c>
      <c r="J31" s="61">
        <f ca="1">VLOOKUP($E31,ChkList!$A$47:$B$49,2,FALSE)*($F31-$I31)</f>
        <v>54</v>
      </c>
      <c r="K31" s="61">
        <f ca="1">VLOOKUP($E31,ChkList!$A$47:$B$49,2,FALSE)*$G31</f>
        <v>54</v>
      </c>
      <c r="L31" s="58" t="str">
        <f t="shared" ca="1" si="5"/>
        <v>Y</v>
      </c>
      <c r="M31" s="58" t="str">
        <f t="shared" ca="1" si="5"/>
        <v>Y</v>
      </c>
      <c r="N31" s="58" t="str">
        <f t="shared" ca="1" si="5"/>
        <v>Y</v>
      </c>
      <c r="O31" s="58" t="str">
        <f t="shared" ca="1" si="6"/>
        <v>Y</v>
      </c>
      <c r="P31" s="58" t="str">
        <f t="shared" ca="1" si="6"/>
        <v>Y</v>
      </c>
      <c r="Q31" s="58" t="str">
        <f t="shared" ca="1" si="6"/>
        <v>Y</v>
      </c>
      <c r="R31" s="58" t="str">
        <f t="shared" ca="1" si="6"/>
        <v>Y</v>
      </c>
      <c r="S31" s="58" t="str">
        <f t="shared" ca="1" si="6"/>
        <v>Y</v>
      </c>
      <c r="T31" s="58" t="str">
        <f t="shared" ca="1" si="6"/>
        <v>Y</v>
      </c>
      <c r="U31" s="58" t="str">
        <f t="shared" ca="1" si="6"/>
        <v>Y</v>
      </c>
      <c r="V31" s="58" t="str">
        <f t="shared" ca="1" si="6"/>
        <v>Y</v>
      </c>
      <c r="W31" s="58" t="str">
        <f t="shared" ca="1" si="6"/>
        <v>Y</v>
      </c>
      <c r="X31" s="58" t="str">
        <f t="shared" ca="1" si="5"/>
        <v>Y</v>
      </c>
      <c r="Y31" s="58" t="str">
        <f t="shared" ca="1" si="5"/>
        <v>Y</v>
      </c>
      <c r="Z31" s="58" t="str">
        <f t="shared" ca="1" si="5"/>
        <v>Y</v>
      </c>
      <c r="AA31" s="58" t="str">
        <f t="shared" ca="1" si="5"/>
        <v>Y</v>
      </c>
      <c r="AB31" s="58" t="str">
        <f t="shared" ca="1" si="5"/>
        <v>Y</v>
      </c>
      <c r="AC31" s="58" t="str">
        <f t="shared" ca="1" si="5"/>
        <v>Y</v>
      </c>
    </row>
    <row r="32" spans="1:29" ht="14.1" customHeight="1">
      <c r="A32" s="63"/>
      <c r="B32" s="58" t="s">
        <v>115</v>
      </c>
      <c r="C32" s="58" t="str">
        <f>ChkList!$B32</f>
        <v>U-25</v>
      </c>
      <c r="D32" s="59" t="str">
        <f>ChkList!$C32</f>
        <v xml:space="preserve">NFS 접근통제 </v>
      </c>
      <c r="E32" s="60" t="str">
        <f>ChkList!$D32</f>
        <v>H</v>
      </c>
      <c r="F32" s="61">
        <f ca="1">COUNTA($L32:INDIRECT(ADDRESS(ROW(),MATCH("",$4:$4,-1),1,1)))</f>
        <v>18</v>
      </c>
      <c r="G32" s="61">
        <f ca="1">COUNTIF($L32:INDIRECT(ADDRESS(ROW(),MATCH("",$4:$4,-1),1,1)),"Y")</f>
        <v>18</v>
      </c>
      <c r="H32" s="61">
        <f ca="1">COUNTIF($L32:INDIRECT(ADDRESS(ROW(),MATCH("",$4:$4,-1),1,1)),"N")</f>
        <v>0</v>
      </c>
      <c r="I32" s="61">
        <f ca="1">COUNTIF($L32:INDIRECT(ADDRESS(ROW(),MATCH("",$4:$4,-1),1,1)),"N/A")</f>
        <v>0</v>
      </c>
      <c r="J32" s="61">
        <f ca="1">VLOOKUP($E32,ChkList!$A$47:$B$49,2,FALSE)*($F32-$I32)</f>
        <v>54</v>
      </c>
      <c r="K32" s="61">
        <f ca="1">VLOOKUP($E32,ChkList!$A$47:$B$49,2,FALSE)*$G32</f>
        <v>54</v>
      </c>
      <c r="L32" s="58" t="str">
        <f t="shared" ca="1" si="5"/>
        <v>Y</v>
      </c>
      <c r="M32" s="58" t="str">
        <f t="shared" ca="1" si="5"/>
        <v>Y</v>
      </c>
      <c r="N32" s="58" t="str">
        <f t="shared" ca="1" si="5"/>
        <v>Y</v>
      </c>
      <c r="O32" s="58" t="str">
        <f t="shared" ca="1" si="6"/>
        <v>Y</v>
      </c>
      <c r="P32" s="58" t="str">
        <f t="shared" ca="1" si="6"/>
        <v>Y</v>
      </c>
      <c r="Q32" s="58" t="str">
        <f t="shared" ca="1" si="6"/>
        <v>Y</v>
      </c>
      <c r="R32" s="58" t="str">
        <f t="shared" ca="1" si="6"/>
        <v>Y</v>
      </c>
      <c r="S32" s="58" t="str">
        <f t="shared" ca="1" si="6"/>
        <v>Y</v>
      </c>
      <c r="T32" s="58" t="str">
        <f t="shared" ca="1" si="6"/>
        <v>Y</v>
      </c>
      <c r="U32" s="58" t="str">
        <f t="shared" ca="1" si="6"/>
        <v>Y</v>
      </c>
      <c r="V32" s="58" t="str">
        <f t="shared" ca="1" si="6"/>
        <v>Y</v>
      </c>
      <c r="W32" s="58" t="str">
        <f t="shared" ca="1" si="6"/>
        <v>Y</v>
      </c>
      <c r="X32" s="58" t="str">
        <f t="shared" ca="1" si="5"/>
        <v>Y</v>
      </c>
      <c r="Y32" s="58" t="str">
        <f t="shared" ca="1" si="5"/>
        <v>Y</v>
      </c>
      <c r="Z32" s="58" t="str">
        <f t="shared" ca="1" si="5"/>
        <v>Y</v>
      </c>
      <c r="AA32" s="58" t="str">
        <f t="shared" ca="1" si="5"/>
        <v>Y</v>
      </c>
      <c r="AB32" s="58" t="str">
        <f t="shared" ca="1" si="5"/>
        <v>Y</v>
      </c>
      <c r="AC32" s="58" t="str">
        <f t="shared" ca="1" si="5"/>
        <v>Y</v>
      </c>
    </row>
    <row r="33" spans="1:29" ht="14.1" customHeight="1">
      <c r="A33" s="63"/>
      <c r="B33" s="58" t="s">
        <v>116</v>
      </c>
      <c r="C33" s="58" t="str">
        <f>ChkList!$B33</f>
        <v>U-26</v>
      </c>
      <c r="D33" s="59" t="str">
        <f>ChkList!$C33</f>
        <v>automountd 제거</v>
      </c>
      <c r="E33" s="60" t="str">
        <f>ChkList!$D33</f>
        <v>H</v>
      </c>
      <c r="F33" s="61">
        <f ca="1">COUNTA($L33:INDIRECT(ADDRESS(ROW(),MATCH("",$4:$4,-1),1,1)))</f>
        <v>18</v>
      </c>
      <c r="G33" s="61">
        <f ca="1">COUNTIF($L33:INDIRECT(ADDRESS(ROW(),MATCH("",$4:$4,-1),1,1)),"Y")</f>
        <v>18</v>
      </c>
      <c r="H33" s="61">
        <f ca="1">COUNTIF($L33:INDIRECT(ADDRESS(ROW(),MATCH("",$4:$4,-1),1,1)),"N")</f>
        <v>0</v>
      </c>
      <c r="I33" s="61">
        <f ca="1">COUNTIF($L33:INDIRECT(ADDRESS(ROW(),MATCH("",$4:$4,-1),1,1)),"N/A")</f>
        <v>0</v>
      </c>
      <c r="J33" s="61">
        <f ca="1">VLOOKUP($E33,ChkList!$A$47:$B$49,2,FALSE)*($F33-$I33)</f>
        <v>54</v>
      </c>
      <c r="K33" s="61">
        <f ca="1">VLOOKUP($E33,ChkList!$A$47:$B$49,2,FALSE)*$G33</f>
        <v>54</v>
      </c>
      <c r="L33" s="58" t="str">
        <f t="shared" ca="1" si="5"/>
        <v>Y</v>
      </c>
      <c r="M33" s="58" t="str">
        <f t="shared" ca="1" si="5"/>
        <v>Y</v>
      </c>
      <c r="N33" s="58" t="str">
        <f t="shared" ca="1" si="5"/>
        <v>Y</v>
      </c>
      <c r="O33" s="58" t="str">
        <f t="shared" ca="1" si="6"/>
        <v>Y</v>
      </c>
      <c r="P33" s="58" t="str">
        <f t="shared" ca="1" si="6"/>
        <v>Y</v>
      </c>
      <c r="Q33" s="58" t="str">
        <f t="shared" ca="1" si="6"/>
        <v>Y</v>
      </c>
      <c r="R33" s="58" t="str">
        <f t="shared" ca="1" si="6"/>
        <v>Y</v>
      </c>
      <c r="S33" s="58" t="str">
        <f t="shared" ca="1" si="6"/>
        <v>Y</v>
      </c>
      <c r="T33" s="58" t="str">
        <f t="shared" ca="1" si="6"/>
        <v>Y</v>
      </c>
      <c r="U33" s="58" t="str">
        <f t="shared" ca="1" si="6"/>
        <v>Y</v>
      </c>
      <c r="V33" s="58" t="str">
        <f t="shared" ca="1" si="6"/>
        <v>Y</v>
      </c>
      <c r="W33" s="58" t="str">
        <f t="shared" ca="1" si="6"/>
        <v>Y</v>
      </c>
      <c r="X33" s="58" t="str">
        <f t="shared" ca="1" si="5"/>
        <v>Y</v>
      </c>
      <c r="Y33" s="58" t="str">
        <f t="shared" ca="1" si="5"/>
        <v>Y</v>
      </c>
      <c r="Z33" s="58" t="str">
        <f t="shared" ca="1" si="5"/>
        <v>Y</v>
      </c>
      <c r="AA33" s="58" t="str">
        <f t="shared" ca="1" si="5"/>
        <v>Y</v>
      </c>
      <c r="AB33" s="58" t="str">
        <f t="shared" ca="1" si="5"/>
        <v>Y</v>
      </c>
      <c r="AC33" s="58" t="str">
        <f t="shared" ca="1" si="5"/>
        <v>Y</v>
      </c>
    </row>
    <row r="34" spans="1:29" ht="14.1" customHeight="1">
      <c r="A34" s="63"/>
      <c r="B34" s="58" t="s">
        <v>117</v>
      </c>
      <c r="C34" s="58" t="str">
        <f>ChkList!$B34</f>
        <v>U-27</v>
      </c>
      <c r="D34" s="59" t="str">
        <f>ChkList!$C34</f>
        <v>RPC 서비스 확인</v>
      </c>
      <c r="E34" s="60" t="str">
        <f>ChkList!$D34</f>
        <v>H</v>
      </c>
      <c r="F34" s="61">
        <f ca="1">COUNTA($L34:INDIRECT(ADDRESS(ROW(),MATCH("",$4:$4,-1),1,1)))</f>
        <v>18</v>
      </c>
      <c r="G34" s="61">
        <f ca="1">COUNTIF($L34:INDIRECT(ADDRESS(ROW(),MATCH("",$4:$4,-1),1,1)),"Y")</f>
        <v>18</v>
      </c>
      <c r="H34" s="61">
        <f ca="1">COUNTIF($L34:INDIRECT(ADDRESS(ROW(),MATCH("",$4:$4,-1),1,1)),"N")</f>
        <v>0</v>
      </c>
      <c r="I34" s="61">
        <f ca="1">COUNTIF($L34:INDIRECT(ADDRESS(ROW(),MATCH("",$4:$4,-1),1,1)),"N/A")</f>
        <v>0</v>
      </c>
      <c r="J34" s="61">
        <f ca="1">VLOOKUP($E34,ChkList!$A$47:$B$49,2,FALSE)*($F34-$I34)</f>
        <v>54</v>
      </c>
      <c r="K34" s="61">
        <f ca="1">VLOOKUP($E34,ChkList!$A$47:$B$49,2,FALSE)*$G34</f>
        <v>54</v>
      </c>
      <c r="L34" s="58" t="str">
        <f t="shared" ca="1" si="5"/>
        <v>Y</v>
      </c>
      <c r="M34" s="58" t="str">
        <f t="shared" ca="1" si="5"/>
        <v>Y</v>
      </c>
      <c r="N34" s="58" t="str">
        <f t="shared" ca="1" si="5"/>
        <v>Y</v>
      </c>
      <c r="O34" s="58" t="str">
        <f t="shared" ca="1" si="6"/>
        <v>Y</v>
      </c>
      <c r="P34" s="58" t="str">
        <f t="shared" ca="1" si="6"/>
        <v>Y</v>
      </c>
      <c r="Q34" s="58" t="str">
        <f t="shared" ca="1" si="6"/>
        <v>Y</v>
      </c>
      <c r="R34" s="58" t="str">
        <f t="shared" ca="1" si="6"/>
        <v>Y</v>
      </c>
      <c r="S34" s="58" t="str">
        <f t="shared" ca="1" si="6"/>
        <v>Y</v>
      </c>
      <c r="T34" s="58" t="str">
        <f t="shared" ca="1" si="6"/>
        <v>Y</v>
      </c>
      <c r="U34" s="58" t="str">
        <f t="shared" ca="1" si="6"/>
        <v>Y</v>
      </c>
      <c r="V34" s="58" t="str">
        <f t="shared" ca="1" si="6"/>
        <v>Y</v>
      </c>
      <c r="W34" s="58" t="str">
        <f t="shared" ca="1" si="6"/>
        <v>Y</v>
      </c>
      <c r="X34" s="58" t="str">
        <f t="shared" ca="1" si="5"/>
        <v>Y</v>
      </c>
      <c r="Y34" s="58" t="str">
        <f t="shared" ca="1" si="5"/>
        <v>Y</v>
      </c>
      <c r="Z34" s="58" t="str">
        <f t="shared" ca="1" si="5"/>
        <v>Y</v>
      </c>
      <c r="AA34" s="58" t="str">
        <f t="shared" ca="1" si="5"/>
        <v>Y</v>
      </c>
      <c r="AB34" s="58" t="str">
        <f t="shared" ca="1" si="5"/>
        <v>Y</v>
      </c>
      <c r="AC34" s="58" t="str">
        <f t="shared" ca="1" si="5"/>
        <v>Y</v>
      </c>
    </row>
    <row r="35" spans="1:29" ht="14.1" customHeight="1">
      <c r="A35" s="63"/>
      <c r="B35" s="58" t="s">
        <v>118</v>
      </c>
      <c r="C35" s="58" t="str">
        <f>ChkList!$B35</f>
        <v>U-28</v>
      </c>
      <c r="D35" s="59" t="str">
        <f>ChkList!$C35</f>
        <v>NIS, NIS+ 점검</v>
      </c>
      <c r="E35" s="60" t="str">
        <f>ChkList!$D35</f>
        <v>H</v>
      </c>
      <c r="F35" s="61">
        <f ca="1">COUNTA($L35:INDIRECT(ADDRESS(ROW(),MATCH("",$4:$4,-1),1,1)))</f>
        <v>18</v>
      </c>
      <c r="G35" s="61">
        <f ca="1">COUNTIF($L35:INDIRECT(ADDRESS(ROW(),MATCH("",$4:$4,-1),1,1)),"Y")</f>
        <v>18</v>
      </c>
      <c r="H35" s="61">
        <f ca="1">COUNTIF($L35:INDIRECT(ADDRESS(ROW(),MATCH("",$4:$4,-1),1,1)),"N")</f>
        <v>0</v>
      </c>
      <c r="I35" s="61">
        <f ca="1">COUNTIF($L35:INDIRECT(ADDRESS(ROW(),MATCH("",$4:$4,-1),1,1)),"N/A")</f>
        <v>0</v>
      </c>
      <c r="J35" s="61">
        <f ca="1">VLOOKUP($E35,ChkList!$A$47:$B$49,2,FALSE)*($F35-$I35)</f>
        <v>54</v>
      </c>
      <c r="K35" s="61">
        <f ca="1">VLOOKUP($E35,ChkList!$A$47:$B$49,2,FALSE)*$G35</f>
        <v>54</v>
      </c>
      <c r="L35" s="58" t="str">
        <f t="shared" ca="1" si="5"/>
        <v>Y</v>
      </c>
      <c r="M35" s="58" t="str">
        <f t="shared" ca="1" si="5"/>
        <v>Y</v>
      </c>
      <c r="N35" s="58" t="str">
        <f t="shared" ca="1" si="5"/>
        <v>Y</v>
      </c>
      <c r="O35" s="58" t="str">
        <f t="shared" ca="1" si="6"/>
        <v>Y</v>
      </c>
      <c r="P35" s="58" t="str">
        <f t="shared" ca="1" si="6"/>
        <v>Y</v>
      </c>
      <c r="Q35" s="58" t="str">
        <f t="shared" ca="1" si="6"/>
        <v>Y</v>
      </c>
      <c r="R35" s="58" t="str">
        <f t="shared" ca="1" si="6"/>
        <v>Y</v>
      </c>
      <c r="S35" s="58" t="str">
        <f t="shared" ca="1" si="6"/>
        <v>Y</v>
      </c>
      <c r="T35" s="58" t="str">
        <f t="shared" ca="1" si="6"/>
        <v>Y</v>
      </c>
      <c r="U35" s="58" t="str">
        <f t="shared" ca="1" si="6"/>
        <v>Y</v>
      </c>
      <c r="V35" s="58" t="str">
        <f t="shared" ca="1" si="6"/>
        <v>Y</v>
      </c>
      <c r="W35" s="58" t="str">
        <f t="shared" ca="1" si="6"/>
        <v>Y</v>
      </c>
      <c r="X35" s="58" t="str">
        <f t="shared" ca="1" si="5"/>
        <v>Y</v>
      </c>
      <c r="Y35" s="58" t="str">
        <f t="shared" ca="1" si="5"/>
        <v>Y</v>
      </c>
      <c r="Z35" s="58" t="str">
        <f t="shared" ca="1" si="5"/>
        <v>Y</v>
      </c>
      <c r="AA35" s="58" t="str">
        <f t="shared" ca="1" si="5"/>
        <v>Y</v>
      </c>
      <c r="AB35" s="58" t="str">
        <f t="shared" ca="1" si="5"/>
        <v>Y</v>
      </c>
      <c r="AC35" s="58" t="str">
        <f t="shared" ca="1" si="5"/>
        <v>Y</v>
      </c>
    </row>
    <row r="36" spans="1:29" ht="14.1" customHeight="1">
      <c r="A36" s="63"/>
      <c r="B36" s="58" t="s">
        <v>119</v>
      </c>
      <c r="C36" s="58" t="str">
        <f>ChkList!$B36</f>
        <v>U-29</v>
      </c>
      <c r="D36" s="59" t="str">
        <f>ChkList!$C36</f>
        <v>tftp, talk 서비스 비활성화</v>
      </c>
      <c r="E36" s="60" t="str">
        <f>ChkList!$D36</f>
        <v>H</v>
      </c>
      <c r="F36" s="61">
        <f ca="1">COUNTA($L36:INDIRECT(ADDRESS(ROW(),MATCH("",$4:$4,-1),1,1)))</f>
        <v>18</v>
      </c>
      <c r="G36" s="61">
        <f ca="1">COUNTIF($L36:INDIRECT(ADDRESS(ROW(),MATCH("",$4:$4,-1),1,1)),"Y")</f>
        <v>18</v>
      </c>
      <c r="H36" s="61">
        <f ca="1">COUNTIF($L36:INDIRECT(ADDRESS(ROW(),MATCH("",$4:$4,-1),1,1)),"N")</f>
        <v>0</v>
      </c>
      <c r="I36" s="61">
        <f ca="1">COUNTIF($L36:INDIRECT(ADDRESS(ROW(),MATCH("",$4:$4,-1),1,1)),"N/A")</f>
        <v>0</v>
      </c>
      <c r="J36" s="61">
        <f ca="1">VLOOKUP($E36,ChkList!$A$47:$B$49,2,FALSE)*($F36-$I36)</f>
        <v>54</v>
      </c>
      <c r="K36" s="61">
        <f ca="1">VLOOKUP($E36,ChkList!$A$47:$B$49,2,FALSE)*$G36</f>
        <v>54</v>
      </c>
      <c r="L36" s="58" t="str">
        <f t="shared" ca="1" si="5"/>
        <v>Y</v>
      </c>
      <c r="M36" s="58" t="str">
        <f t="shared" ca="1" si="5"/>
        <v>Y</v>
      </c>
      <c r="N36" s="58" t="str">
        <f t="shared" ca="1" si="5"/>
        <v>Y</v>
      </c>
      <c r="O36" s="58" t="str">
        <f t="shared" ca="1" si="6"/>
        <v>Y</v>
      </c>
      <c r="P36" s="58" t="str">
        <f t="shared" ca="1" si="6"/>
        <v>Y</v>
      </c>
      <c r="Q36" s="58" t="str">
        <f t="shared" ca="1" si="6"/>
        <v>Y</v>
      </c>
      <c r="R36" s="58" t="str">
        <f t="shared" ca="1" si="6"/>
        <v>Y</v>
      </c>
      <c r="S36" s="58" t="str">
        <f t="shared" ca="1" si="6"/>
        <v>Y</v>
      </c>
      <c r="T36" s="58" t="str">
        <f t="shared" ca="1" si="6"/>
        <v>Y</v>
      </c>
      <c r="U36" s="58" t="str">
        <f t="shared" ca="1" si="6"/>
        <v>Y</v>
      </c>
      <c r="V36" s="58" t="str">
        <f t="shared" ca="1" si="6"/>
        <v>Y</v>
      </c>
      <c r="W36" s="58" t="str">
        <f t="shared" ca="1" si="6"/>
        <v>Y</v>
      </c>
      <c r="X36" s="58" t="str">
        <f t="shared" ca="1" si="5"/>
        <v>Y</v>
      </c>
      <c r="Y36" s="58" t="str">
        <f t="shared" ca="1" si="5"/>
        <v>Y</v>
      </c>
      <c r="Z36" s="58" t="str">
        <f t="shared" ca="1" si="5"/>
        <v>Y</v>
      </c>
      <c r="AA36" s="58" t="str">
        <f t="shared" ca="1" si="5"/>
        <v>Y</v>
      </c>
      <c r="AB36" s="58" t="str">
        <f t="shared" ca="1" si="5"/>
        <v>Y</v>
      </c>
      <c r="AC36" s="58" t="str">
        <f t="shared" ca="1" si="5"/>
        <v>Y</v>
      </c>
    </row>
    <row r="37" spans="1:29" ht="14.1" customHeight="1">
      <c r="A37" s="63"/>
      <c r="B37" s="58" t="s">
        <v>120</v>
      </c>
      <c r="C37" s="58" t="str">
        <f>ChkList!$B37</f>
        <v>U-30</v>
      </c>
      <c r="D37" s="59" t="str">
        <f>ChkList!$C37</f>
        <v>Sendmail 버전 점검</v>
      </c>
      <c r="E37" s="60" t="str">
        <f>ChkList!$D37</f>
        <v>H</v>
      </c>
      <c r="F37" s="61">
        <f ca="1">COUNTA($L37:INDIRECT(ADDRESS(ROW(),MATCH("",$4:$4,-1),1,1)))</f>
        <v>18</v>
      </c>
      <c r="G37" s="61">
        <f ca="1">COUNTIF($L37:INDIRECT(ADDRESS(ROW(),MATCH("",$4:$4,-1),1,1)),"Y")</f>
        <v>18</v>
      </c>
      <c r="H37" s="61">
        <f ca="1">COUNTIF($L37:INDIRECT(ADDRESS(ROW(),MATCH("",$4:$4,-1),1,1)),"N")</f>
        <v>0</v>
      </c>
      <c r="I37" s="61">
        <f ca="1">COUNTIF($L37:INDIRECT(ADDRESS(ROW(),MATCH("",$4:$4,-1),1,1)),"N/A")</f>
        <v>0</v>
      </c>
      <c r="J37" s="61">
        <f ca="1">VLOOKUP($E37,ChkList!$A$47:$B$49,2,FALSE)*($F37-$I37)</f>
        <v>54</v>
      </c>
      <c r="K37" s="61">
        <f ca="1">VLOOKUP($E37,ChkList!$A$47:$B$49,2,FALSE)*$G37</f>
        <v>54</v>
      </c>
      <c r="L37" s="58" t="str">
        <f t="shared" ca="1" si="5"/>
        <v>Y</v>
      </c>
      <c r="M37" s="58" t="str">
        <f t="shared" ca="1" si="5"/>
        <v>Y</v>
      </c>
      <c r="N37" s="58" t="str">
        <f t="shared" ca="1" si="5"/>
        <v>Y</v>
      </c>
      <c r="O37" s="58" t="str">
        <f t="shared" ca="1" si="6"/>
        <v>Y</v>
      </c>
      <c r="P37" s="58" t="str">
        <f t="shared" ca="1" si="6"/>
        <v>Y</v>
      </c>
      <c r="Q37" s="58" t="str">
        <f t="shared" ca="1" si="6"/>
        <v>Y</v>
      </c>
      <c r="R37" s="58" t="str">
        <f t="shared" ca="1" si="6"/>
        <v>Y</v>
      </c>
      <c r="S37" s="58" t="str">
        <f t="shared" ca="1" si="6"/>
        <v>Y</v>
      </c>
      <c r="T37" s="58" t="str">
        <f t="shared" ca="1" si="6"/>
        <v>Y</v>
      </c>
      <c r="U37" s="58" t="str">
        <f t="shared" ca="1" si="6"/>
        <v>Y</v>
      </c>
      <c r="V37" s="58" t="str">
        <f t="shared" ca="1" si="6"/>
        <v>Y</v>
      </c>
      <c r="W37" s="58" t="str">
        <f t="shared" ca="1" si="6"/>
        <v>Y</v>
      </c>
      <c r="X37" s="58" t="str">
        <f t="shared" ca="1" si="5"/>
        <v>Y</v>
      </c>
      <c r="Y37" s="58" t="str">
        <f t="shared" ca="1" si="5"/>
        <v>Y</v>
      </c>
      <c r="Z37" s="58" t="str">
        <f t="shared" ca="1" si="5"/>
        <v>Y</v>
      </c>
      <c r="AA37" s="58" t="str">
        <f t="shared" ca="1" si="5"/>
        <v>Y</v>
      </c>
      <c r="AB37" s="58" t="str">
        <f t="shared" ca="1" si="5"/>
        <v>Y</v>
      </c>
      <c r="AC37" s="58" t="str">
        <f t="shared" ca="1" si="5"/>
        <v>Y</v>
      </c>
    </row>
    <row r="38" spans="1:29" ht="14.1" customHeight="1">
      <c r="A38" s="63"/>
      <c r="B38" s="58" t="s">
        <v>121</v>
      </c>
      <c r="C38" s="58" t="str">
        <f>ChkList!$B38</f>
        <v>U-31</v>
      </c>
      <c r="D38" s="59" t="str">
        <f>ChkList!$C38</f>
        <v>스팸 메일 릴레이 제한</v>
      </c>
      <c r="E38" s="60" t="str">
        <f>ChkList!$D38</f>
        <v>H</v>
      </c>
      <c r="F38" s="61">
        <f ca="1">COUNTA($L38:INDIRECT(ADDRESS(ROW(),MATCH("",$4:$4,-1),1,1)))</f>
        <v>18</v>
      </c>
      <c r="G38" s="61">
        <f ca="1">COUNTIF($L38:INDIRECT(ADDRESS(ROW(),MATCH("",$4:$4,-1),1,1)),"Y")</f>
        <v>18</v>
      </c>
      <c r="H38" s="61">
        <f ca="1">COUNTIF($L38:INDIRECT(ADDRESS(ROW(),MATCH("",$4:$4,-1),1,1)),"N")</f>
        <v>0</v>
      </c>
      <c r="I38" s="61">
        <f ca="1">COUNTIF($L38:INDIRECT(ADDRESS(ROW(),MATCH("",$4:$4,-1),1,1)),"N/A")</f>
        <v>0</v>
      </c>
      <c r="J38" s="61">
        <f ca="1">VLOOKUP($E38,ChkList!$A$47:$B$49,2,FALSE)*($F38-$I38)</f>
        <v>54</v>
      </c>
      <c r="K38" s="61">
        <f ca="1">VLOOKUP($E38,ChkList!$A$47:$B$49,2,FALSE)*$G38</f>
        <v>54</v>
      </c>
      <c r="L38" s="58" t="str">
        <f t="shared" ca="1" si="5"/>
        <v>Y</v>
      </c>
      <c r="M38" s="58" t="str">
        <f t="shared" ca="1" si="5"/>
        <v>Y</v>
      </c>
      <c r="N38" s="58" t="str">
        <f t="shared" ca="1" si="5"/>
        <v>Y</v>
      </c>
      <c r="O38" s="58" t="str">
        <f t="shared" ca="1" si="6"/>
        <v>Y</v>
      </c>
      <c r="P38" s="58" t="str">
        <f t="shared" ca="1" si="6"/>
        <v>Y</v>
      </c>
      <c r="Q38" s="58" t="str">
        <f t="shared" ca="1" si="6"/>
        <v>Y</v>
      </c>
      <c r="R38" s="58" t="str">
        <f t="shared" ca="1" si="6"/>
        <v>Y</v>
      </c>
      <c r="S38" s="58" t="str">
        <f t="shared" ca="1" si="6"/>
        <v>Y</v>
      </c>
      <c r="T38" s="58" t="str">
        <f t="shared" ca="1" si="6"/>
        <v>Y</v>
      </c>
      <c r="U38" s="58" t="str">
        <f t="shared" ca="1" si="6"/>
        <v>Y</v>
      </c>
      <c r="V38" s="58" t="str">
        <f t="shared" ca="1" si="6"/>
        <v>Y</v>
      </c>
      <c r="W38" s="58" t="str">
        <f t="shared" ca="1" si="6"/>
        <v>Y</v>
      </c>
      <c r="X38" s="58" t="str">
        <f t="shared" ca="1" si="5"/>
        <v>Y</v>
      </c>
      <c r="Y38" s="58" t="str">
        <f t="shared" ca="1" si="5"/>
        <v>Y</v>
      </c>
      <c r="Z38" s="58" t="str">
        <f t="shared" ca="1" si="5"/>
        <v>Y</v>
      </c>
      <c r="AA38" s="58" t="str">
        <f t="shared" ca="1" si="5"/>
        <v>Y</v>
      </c>
      <c r="AB38" s="58" t="str">
        <f t="shared" ca="1" si="5"/>
        <v>Y</v>
      </c>
      <c r="AC38" s="58" t="str">
        <f t="shared" ca="1" si="5"/>
        <v>Y</v>
      </c>
    </row>
    <row r="39" spans="1:29" ht="14.1" customHeight="1">
      <c r="A39" s="63"/>
      <c r="B39" s="58" t="s">
        <v>122</v>
      </c>
      <c r="C39" s="58" t="str">
        <f>ChkList!$B39</f>
        <v>U-32</v>
      </c>
      <c r="D39" s="59" t="str">
        <f>ChkList!$C39</f>
        <v>일반사용자의 Sendmail 실행 방지</v>
      </c>
      <c r="E39" s="60" t="str">
        <f>ChkList!$D39</f>
        <v>H</v>
      </c>
      <c r="F39" s="61">
        <f ca="1">COUNTA($L39:INDIRECT(ADDRESS(ROW(),MATCH("",$4:$4,-1),1,1)))</f>
        <v>18</v>
      </c>
      <c r="G39" s="61">
        <f ca="1">COUNTIF($L39:INDIRECT(ADDRESS(ROW(),MATCH("",$4:$4,-1),1,1)),"Y")</f>
        <v>18</v>
      </c>
      <c r="H39" s="61">
        <f ca="1">COUNTIF($L39:INDIRECT(ADDRESS(ROW(),MATCH("",$4:$4,-1),1,1)),"N")</f>
        <v>0</v>
      </c>
      <c r="I39" s="61">
        <f ca="1">COUNTIF($L39:INDIRECT(ADDRESS(ROW(),MATCH("",$4:$4,-1),1,1)),"N/A")</f>
        <v>0</v>
      </c>
      <c r="J39" s="61">
        <f ca="1">VLOOKUP($E39,ChkList!$A$47:$B$49,2,FALSE)*($F39-$I39)</f>
        <v>54</v>
      </c>
      <c r="K39" s="61">
        <f ca="1">VLOOKUP($E39,ChkList!$A$47:$B$49,2,FALSE)*$G39</f>
        <v>54</v>
      </c>
      <c r="L39" s="58" t="str">
        <f t="shared" ca="1" si="5"/>
        <v>Y</v>
      </c>
      <c r="M39" s="58" t="str">
        <f t="shared" ca="1" si="5"/>
        <v>Y</v>
      </c>
      <c r="N39" s="58" t="str">
        <f t="shared" ca="1" si="5"/>
        <v>Y</v>
      </c>
      <c r="O39" s="58" t="str">
        <f t="shared" ca="1" si="6"/>
        <v>Y</v>
      </c>
      <c r="P39" s="58" t="str">
        <f t="shared" ca="1" si="6"/>
        <v>Y</v>
      </c>
      <c r="Q39" s="58" t="str">
        <f t="shared" ca="1" si="6"/>
        <v>Y</v>
      </c>
      <c r="R39" s="58" t="str">
        <f t="shared" ca="1" si="6"/>
        <v>Y</v>
      </c>
      <c r="S39" s="58" t="str">
        <f t="shared" ca="1" si="6"/>
        <v>Y</v>
      </c>
      <c r="T39" s="58" t="str">
        <f t="shared" ca="1" si="6"/>
        <v>Y</v>
      </c>
      <c r="U39" s="58" t="str">
        <f t="shared" ca="1" si="6"/>
        <v>Y</v>
      </c>
      <c r="V39" s="58" t="str">
        <f t="shared" ca="1" si="6"/>
        <v>Y</v>
      </c>
      <c r="W39" s="58" t="str">
        <f t="shared" ca="1" si="6"/>
        <v>Y</v>
      </c>
      <c r="X39" s="58" t="str">
        <f t="shared" ca="1" si="5"/>
        <v>Y</v>
      </c>
      <c r="Y39" s="58" t="str">
        <f t="shared" ca="1" si="5"/>
        <v>Y</v>
      </c>
      <c r="Z39" s="58" t="str">
        <f t="shared" ca="1" si="5"/>
        <v>Y</v>
      </c>
      <c r="AA39" s="58" t="str">
        <f t="shared" ca="1" si="5"/>
        <v>Y</v>
      </c>
      <c r="AB39" s="58" t="str">
        <f t="shared" ca="1" si="5"/>
        <v>Y</v>
      </c>
      <c r="AC39" s="58" t="str">
        <f t="shared" ca="1" si="5"/>
        <v>Y</v>
      </c>
    </row>
    <row r="40" spans="1:29" ht="14.1" customHeight="1">
      <c r="A40" s="63"/>
      <c r="B40" s="58" t="s">
        <v>123</v>
      </c>
      <c r="C40" s="58" t="str">
        <f>ChkList!$B40</f>
        <v>U-33</v>
      </c>
      <c r="D40" s="59" t="str">
        <f>ChkList!$C40</f>
        <v>DNS 보안 버전 패치</v>
      </c>
      <c r="E40" s="60" t="str">
        <f>ChkList!$D40</f>
        <v>H</v>
      </c>
      <c r="F40" s="61">
        <f ca="1">COUNTA($L40:INDIRECT(ADDRESS(ROW(),MATCH("",$4:$4,-1),1,1)))</f>
        <v>18</v>
      </c>
      <c r="G40" s="61">
        <f ca="1">COUNTIF($L40:INDIRECT(ADDRESS(ROW(),MATCH("",$4:$4,-1),1,1)),"Y")</f>
        <v>18</v>
      </c>
      <c r="H40" s="61">
        <f ca="1">COUNTIF($L40:INDIRECT(ADDRESS(ROW(),MATCH("",$4:$4,-1),1,1)),"N")</f>
        <v>0</v>
      </c>
      <c r="I40" s="61">
        <f ca="1">COUNTIF($L40:INDIRECT(ADDRESS(ROW(),MATCH("",$4:$4,-1),1,1)),"N/A")</f>
        <v>0</v>
      </c>
      <c r="J40" s="61">
        <f ca="1">VLOOKUP($E40,ChkList!$A$47:$B$49,2,FALSE)*($F40-$I40)</f>
        <v>54</v>
      </c>
      <c r="K40" s="61">
        <f ca="1">VLOOKUP($E40,ChkList!$A$47:$B$49,2,FALSE)*$G40</f>
        <v>54</v>
      </c>
      <c r="L40" s="58" t="str">
        <f t="shared" ca="1" si="5"/>
        <v>Y</v>
      </c>
      <c r="M40" s="58" t="str">
        <f t="shared" ca="1" si="5"/>
        <v>Y</v>
      </c>
      <c r="N40" s="58" t="str">
        <f t="shared" ca="1" si="5"/>
        <v>Y</v>
      </c>
      <c r="O40" s="58" t="str">
        <f t="shared" ca="1" si="6"/>
        <v>Y</v>
      </c>
      <c r="P40" s="58" t="str">
        <f t="shared" ca="1" si="6"/>
        <v>Y</v>
      </c>
      <c r="Q40" s="58" t="str">
        <f t="shared" ca="1" si="6"/>
        <v>Y</v>
      </c>
      <c r="R40" s="58" t="str">
        <f t="shared" ca="1" si="6"/>
        <v>Y</v>
      </c>
      <c r="S40" s="58" t="str">
        <f t="shared" ca="1" si="6"/>
        <v>Y</v>
      </c>
      <c r="T40" s="58" t="str">
        <f t="shared" ca="1" si="6"/>
        <v>Y</v>
      </c>
      <c r="U40" s="58" t="str">
        <f t="shared" ca="1" si="6"/>
        <v>Y</v>
      </c>
      <c r="V40" s="58" t="str">
        <f t="shared" ca="1" si="6"/>
        <v>Y</v>
      </c>
      <c r="W40" s="58" t="str">
        <f t="shared" ca="1" si="6"/>
        <v>Y</v>
      </c>
      <c r="X40" s="58" t="str">
        <f t="shared" ref="X40:AC41" ca="1" si="7">IFERROR(INDIRECT(ADDRESS(ROW()+15,10,1,TRUE,X$4)),"")</f>
        <v>Y</v>
      </c>
      <c r="Y40" s="58" t="str">
        <f t="shared" ca="1" si="7"/>
        <v>Y</v>
      </c>
      <c r="Z40" s="58" t="str">
        <f t="shared" ca="1" si="7"/>
        <v>Y</v>
      </c>
      <c r="AA40" s="58" t="str">
        <f t="shared" ca="1" si="7"/>
        <v>Y</v>
      </c>
      <c r="AB40" s="58" t="str">
        <f t="shared" ca="1" si="7"/>
        <v>Y</v>
      </c>
      <c r="AC40" s="58" t="str">
        <f t="shared" ca="1" si="7"/>
        <v>Y</v>
      </c>
    </row>
    <row r="41" spans="1:29" ht="14.1" customHeight="1">
      <c r="A41" s="63"/>
      <c r="B41" s="58" t="s">
        <v>124</v>
      </c>
      <c r="C41" s="58" t="str">
        <f>ChkList!$B41</f>
        <v>U-34</v>
      </c>
      <c r="D41" s="59" t="str">
        <f>ChkList!$C41</f>
        <v>DNS ZoneTransfer 설정</v>
      </c>
      <c r="E41" s="60" t="str">
        <f>ChkList!$D41</f>
        <v>H</v>
      </c>
      <c r="F41" s="61">
        <f ca="1">COUNTA($L41:INDIRECT(ADDRESS(ROW(),MATCH("",$4:$4,-1),1,1)))</f>
        <v>18</v>
      </c>
      <c r="G41" s="61">
        <f ca="1">COUNTIF($L41:INDIRECT(ADDRESS(ROW(),MATCH("",$4:$4,-1),1,1)),"Y")</f>
        <v>18</v>
      </c>
      <c r="H41" s="61">
        <f ca="1">COUNTIF($L41:INDIRECT(ADDRESS(ROW(),MATCH("",$4:$4,-1),1,1)),"N")</f>
        <v>0</v>
      </c>
      <c r="I41" s="61">
        <f ca="1">COUNTIF($L41:INDIRECT(ADDRESS(ROW(),MATCH("",$4:$4,-1),1,1)),"N/A")</f>
        <v>0</v>
      </c>
      <c r="J41" s="61">
        <f ca="1">VLOOKUP($E41,ChkList!$A$47:$B$49,2,FALSE)*($F41-$I41)</f>
        <v>54</v>
      </c>
      <c r="K41" s="61">
        <f ca="1">VLOOKUP($E41,ChkList!$A$47:$B$49,2,FALSE)*$G41</f>
        <v>54</v>
      </c>
      <c r="L41" s="58" t="str">
        <f t="shared" ca="1" si="5"/>
        <v>Y</v>
      </c>
      <c r="M41" s="58" t="str">
        <f t="shared" ca="1" si="5"/>
        <v>Y</v>
      </c>
      <c r="N41" s="58" t="str">
        <f t="shared" ca="1" si="5"/>
        <v>Y</v>
      </c>
      <c r="O41" s="58" t="str">
        <f t="shared" ca="1" si="6"/>
        <v>Y</v>
      </c>
      <c r="P41" s="58" t="str">
        <f t="shared" ca="1" si="6"/>
        <v>Y</v>
      </c>
      <c r="Q41" s="58" t="str">
        <f t="shared" ca="1" si="6"/>
        <v>Y</v>
      </c>
      <c r="R41" s="58" t="str">
        <f t="shared" ca="1" si="6"/>
        <v>Y</v>
      </c>
      <c r="S41" s="58" t="str">
        <f t="shared" ca="1" si="6"/>
        <v>Y</v>
      </c>
      <c r="T41" s="58" t="str">
        <f t="shared" ca="1" si="6"/>
        <v>Y</v>
      </c>
      <c r="U41" s="58" t="str">
        <f t="shared" ca="1" si="6"/>
        <v>Y</v>
      </c>
      <c r="V41" s="58" t="str">
        <f t="shared" ca="1" si="6"/>
        <v>Y</v>
      </c>
      <c r="W41" s="58" t="str">
        <f t="shared" ca="1" si="6"/>
        <v>Y</v>
      </c>
      <c r="X41" s="58" t="str">
        <f t="shared" ca="1" si="7"/>
        <v>Y</v>
      </c>
      <c r="Y41" s="58" t="str">
        <f t="shared" ca="1" si="7"/>
        <v>Y</v>
      </c>
      <c r="Z41" s="58" t="str">
        <f t="shared" ca="1" si="7"/>
        <v>Y</v>
      </c>
      <c r="AA41" s="58" t="str">
        <f t="shared" ca="1" si="7"/>
        <v>Y</v>
      </c>
      <c r="AB41" s="58" t="str">
        <f t="shared" ca="1" si="7"/>
        <v>Y</v>
      </c>
      <c r="AC41" s="58" t="str">
        <f t="shared" ca="1" si="7"/>
        <v>Y</v>
      </c>
    </row>
    <row r="42" spans="1:29" ht="14.1" customHeight="1">
      <c r="A42" s="52" t="str">
        <f>ChkList!$A$42</f>
        <v>U4</v>
      </c>
      <c r="B42" s="53"/>
      <c r="C42" s="54" t="str">
        <f>VLOOKUP($A42,ChkList!$A$5:$B$44,2,FALSE)</f>
        <v>패치 및 로그관리</v>
      </c>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row>
    <row r="43" spans="1:29" ht="14.1" customHeight="1">
      <c r="A43" s="58"/>
      <c r="B43" s="58" t="s">
        <v>131</v>
      </c>
      <c r="C43" s="58" t="str">
        <f>ChkList!$B43</f>
        <v>U-35</v>
      </c>
      <c r="D43" s="59" t="str">
        <f>ChkList!$C43</f>
        <v>최신 보안패치 및 벤더 권고사항 적용</v>
      </c>
      <c r="E43" s="60" t="str">
        <f>ChkList!$D43</f>
        <v>H</v>
      </c>
      <c r="F43" s="61">
        <f ca="1">COUNTA($L43:INDIRECT(ADDRESS(ROW(),MATCH("",$4:$4,-1),1,1)))</f>
        <v>18</v>
      </c>
      <c r="G43" s="61">
        <f ca="1">COUNTIF($L43:INDIRECT(ADDRESS(ROW(),MATCH("",$4:$4,-1),1,1)),"Y")</f>
        <v>0</v>
      </c>
      <c r="H43" s="61">
        <f ca="1">COUNTIF($L43:INDIRECT(ADDRESS(ROW(),MATCH("",$4:$4,-1),1,1)),"N")</f>
        <v>18</v>
      </c>
      <c r="I43" s="61">
        <f ca="1">COUNTIF($L43:INDIRECT(ADDRESS(ROW(),MATCH("",$4:$4,-1),1,1)),"N/A")</f>
        <v>0</v>
      </c>
      <c r="J43" s="61">
        <f ca="1">VLOOKUP($E43,ChkList!$A$47:$B$49,2,FALSE)*($F43-$I43)</f>
        <v>54</v>
      </c>
      <c r="K43" s="61">
        <f ca="1">VLOOKUP($E43,ChkList!$A$47:$B$49,2,FALSE)*$G43</f>
        <v>0</v>
      </c>
      <c r="L43" s="58" t="str">
        <f t="shared" ref="L43:AC44" ca="1" si="8">IFERROR(INDIRECT(ADDRESS(ROW()+15,10,1,TRUE,L$4)),"")</f>
        <v>N</v>
      </c>
      <c r="M43" s="58" t="str">
        <f t="shared" ca="1" si="8"/>
        <v>N</v>
      </c>
      <c r="N43" s="58" t="str">
        <f t="shared" ca="1" si="8"/>
        <v>N</v>
      </c>
      <c r="O43" s="58" t="str">
        <f t="shared" ca="1" si="8"/>
        <v>N</v>
      </c>
      <c r="P43" s="58" t="str">
        <f t="shared" ca="1" si="8"/>
        <v>N</v>
      </c>
      <c r="Q43" s="58" t="str">
        <f t="shared" ca="1" si="8"/>
        <v>N</v>
      </c>
      <c r="R43" s="58" t="str">
        <f t="shared" ca="1" si="8"/>
        <v>N</v>
      </c>
      <c r="S43" s="58" t="str">
        <f t="shared" ca="1" si="8"/>
        <v>N</v>
      </c>
      <c r="T43" s="58" t="str">
        <f t="shared" ca="1" si="8"/>
        <v>N</v>
      </c>
      <c r="U43" s="58" t="str">
        <f t="shared" ca="1" si="8"/>
        <v>N</v>
      </c>
      <c r="V43" s="58" t="str">
        <f t="shared" ca="1" si="8"/>
        <v>N</v>
      </c>
      <c r="W43" s="58" t="str">
        <f t="shared" ca="1" si="8"/>
        <v>N</v>
      </c>
      <c r="X43" s="58" t="str">
        <f t="shared" ca="1" si="8"/>
        <v>N</v>
      </c>
      <c r="Y43" s="58" t="str">
        <f t="shared" ca="1" si="8"/>
        <v>N</v>
      </c>
      <c r="Z43" s="58" t="str">
        <f t="shared" ca="1" si="8"/>
        <v>N</v>
      </c>
      <c r="AA43" s="58" t="str">
        <f t="shared" ca="1" si="8"/>
        <v>N</v>
      </c>
      <c r="AB43" s="58" t="str">
        <f t="shared" ca="1" si="8"/>
        <v>N</v>
      </c>
      <c r="AC43" s="58" t="str">
        <f t="shared" ca="1" si="8"/>
        <v>N</v>
      </c>
    </row>
    <row r="44" spans="1:29" ht="14.1" customHeight="1">
      <c r="A44" s="63"/>
      <c r="B44" s="58" t="s">
        <v>127</v>
      </c>
      <c r="C44" s="58" t="str">
        <f>ChkList!$B44</f>
        <v>U-36</v>
      </c>
      <c r="D44" s="59" t="str">
        <f>ChkList!$C44</f>
        <v>로그의 정기적 검토 및 보고</v>
      </c>
      <c r="E44" s="60" t="str">
        <f>ChkList!$D44</f>
        <v>H</v>
      </c>
      <c r="F44" s="61">
        <f ca="1">COUNTA($L44:INDIRECT(ADDRESS(ROW(),MATCH("",$4:$4,-1),1,1)))</f>
        <v>18</v>
      </c>
      <c r="G44" s="61">
        <f ca="1">COUNTIF($L44:INDIRECT(ADDRESS(ROW(),MATCH("",$4:$4,-1),1,1)),"Y")</f>
        <v>0</v>
      </c>
      <c r="H44" s="61">
        <f ca="1">COUNTIF($L44:INDIRECT(ADDRESS(ROW(),MATCH("",$4:$4,-1),1,1)),"N")</f>
        <v>18</v>
      </c>
      <c r="I44" s="61">
        <f ca="1">COUNTIF($L44:INDIRECT(ADDRESS(ROW(),MATCH("",$4:$4,-1),1,1)),"N/A")</f>
        <v>0</v>
      </c>
      <c r="J44" s="61">
        <f ca="1">VLOOKUP($E44,ChkList!$A$47:$B$49,2,FALSE)*($F44-$I44)</f>
        <v>54</v>
      </c>
      <c r="K44" s="61">
        <f ca="1">VLOOKUP($E44,ChkList!$A$47:$B$49,2,FALSE)*$G44</f>
        <v>0</v>
      </c>
      <c r="L44" s="58" t="str">
        <f t="shared" ca="1" si="8"/>
        <v>N</v>
      </c>
      <c r="M44" s="58" t="str">
        <f t="shared" ca="1" si="8"/>
        <v>N</v>
      </c>
      <c r="N44" s="58" t="str">
        <f t="shared" ca="1" si="8"/>
        <v>N</v>
      </c>
      <c r="O44" s="58" t="str">
        <f t="shared" ca="1" si="8"/>
        <v>N</v>
      </c>
      <c r="P44" s="58" t="str">
        <f t="shared" ca="1" si="8"/>
        <v>N</v>
      </c>
      <c r="Q44" s="58" t="str">
        <f t="shared" ca="1" si="8"/>
        <v>N</v>
      </c>
      <c r="R44" s="58" t="str">
        <f t="shared" ca="1" si="8"/>
        <v>N</v>
      </c>
      <c r="S44" s="58" t="str">
        <f t="shared" ca="1" si="8"/>
        <v>N</v>
      </c>
      <c r="T44" s="58" t="str">
        <f t="shared" ca="1" si="8"/>
        <v>N</v>
      </c>
      <c r="U44" s="58" t="str">
        <f t="shared" ca="1" si="8"/>
        <v>N</v>
      </c>
      <c r="V44" s="58" t="str">
        <f t="shared" ca="1" si="8"/>
        <v>N</v>
      </c>
      <c r="W44" s="58" t="str">
        <f t="shared" ca="1" si="8"/>
        <v>N</v>
      </c>
      <c r="X44" s="58" t="str">
        <f t="shared" ca="1" si="8"/>
        <v>N</v>
      </c>
      <c r="Y44" s="58" t="str">
        <f t="shared" ca="1" si="8"/>
        <v>N</v>
      </c>
      <c r="Z44" s="58" t="str">
        <f t="shared" ca="1" si="8"/>
        <v>N</v>
      </c>
      <c r="AA44" s="58" t="str">
        <f t="shared" ca="1" si="8"/>
        <v>N</v>
      </c>
      <c r="AB44" s="58" t="str">
        <f t="shared" ca="1" si="8"/>
        <v>N</v>
      </c>
      <c r="AC44" s="58" t="str">
        <f t="shared" ca="1" si="8"/>
        <v>N</v>
      </c>
    </row>
    <row r="45" spans="1:29" ht="14.1" customHeight="1">
      <c r="A45" s="64"/>
      <c r="B45" s="64"/>
      <c r="C45" s="65"/>
      <c r="D45" s="66"/>
      <c r="E45" s="66"/>
      <c r="F45" s="67">
        <f ca="1">SUM(F5:F44)</f>
        <v>648</v>
      </c>
      <c r="G45" s="67">
        <f t="shared" ref="G45:K45" ca="1" si="9">SUM(G5:G44)</f>
        <v>520</v>
      </c>
      <c r="H45" s="67">
        <f t="shared" ca="1" si="9"/>
        <v>128</v>
      </c>
      <c r="I45" s="67">
        <f t="shared" ca="1" si="9"/>
        <v>0</v>
      </c>
      <c r="J45" s="67">
        <f t="shared" ca="1" si="9"/>
        <v>1926</v>
      </c>
      <c r="K45" s="67">
        <f t="shared" ca="1" si="9"/>
        <v>1557</v>
      </c>
      <c r="L45" s="67">
        <f t="shared" ref="L45:AC45" ca="1" si="10">COUNTIFS(L$6:L$44,"&lt;&gt;",L$6:L$44,"&lt;&gt;0")</f>
        <v>36</v>
      </c>
      <c r="M45" s="67">
        <f t="shared" ca="1" si="10"/>
        <v>36</v>
      </c>
      <c r="N45" s="67">
        <f t="shared" ca="1" si="10"/>
        <v>36</v>
      </c>
      <c r="O45" s="67">
        <f t="shared" ca="1" si="10"/>
        <v>36</v>
      </c>
      <c r="P45" s="67">
        <f t="shared" ca="1" si="10"/>
        <v>36</v>
      </c>
      <c r="Q45" s="67">
        <f t="shared" ca="1" si="10"/>
        <v>36</v>
      </c>
      <c r="R45" s="67">
        <f t="shared" ca="1" si="10"/>
        <v>36</v>
      </c>
      <c r="S45" s="67">
        <f t="shared" ca="1" si="10"/>
        <v>36</v>
      </c>
      <c r="T45" s="67">
        <f t="shared" ca="1" si="10"/>
        <v>36</v>
      </c>
      <c r="U45" s="67">
        <f t="shared" ca="1" si="10"/>
        <v>36</v>
      </c>
      <c r="V45" s="67">
        <f t="shared" ca="1" si="10"/>
        <v>36</v>
      </c>
      <c r="W45" s="67">
        <f t="shared" ca="1" si="10"/>
        <v>36</v>
      </c>
      <c r="X45" s="67">
        <f t="shared" ca="1" si="10"/>
        <v>36</v>
      </c>
      <c r="Y45" s="67">
        <f t="shared" ca="1" si="10"/>
        <v>36</v>
      </c>
      <c r="Z45" s="67">
        <f t="shared" ca="1" si="10"/>
        <v>36</v>
      </c>
      <c r="AA45" s="67">
        <f t="shared" ca="1" si="10"/>
        <v>36</v>
      </c>
      <c r="AB45" s="67">
        <f t="shared" ca="1" si="10"/>
        <v>36</v>
      </c>
      <c r="AC45" s="67">
        <f t="shared" ca="1" si="10"/>
        <v>36</v>
      </c>
    </row>
  </sheetData>
  <mergeCells count="5">
    <mergeCell ref="A3:C4"/>
    <mergeCell ref="D3:D4"/>
    <mergeCell ref="E3:E4"/>
    <mergeCell ref="F3:I3"/>
    <mergeCell ref="J3:K3"/>
  </mergeCells>
  <phoneticPr fontId="8" type="noConversion"/>
  <conditionalFormatting sqref="L6:AC10 L12:AC25 L27:AC41 L43:AC44">
    <cfRule type="cellIs" dxfId="55" priority="1" stopIfTrue="1" operator="equal">
      <formula>"N/A"</formula>
    </cfRule>
    <cfRule type="cellIs" dxfId="54" priority="2" stopIfTrue="1" operator="equal">
      <formula>"N"</formula>
    </cfRule>
  </conditionalFormatting>
  <printOptions horizontalCentered="1"/>
  <pageMargins left="0.39370078740157483" right="0.39370078740157483" top="0.59055118110236227" bottom="0.59055118110236227" header="0.39370078740157483" footer="0.39370078740157483"/>
  <pageSetup paperSize="9" scale="21" fitToHeight="9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9" style="74"/>
    <col min="16" max="16" width="7.59765625" style="20" customWidth="1"/>
    <col min="17" max="17" width="5.09765625" style="20" customWidth="1"/>
    <col min="18" max="257" width="9"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9" style="20"/>
    <col min="272" max="272" width="7.59765625" style="20" customWidth="1"/>
    <col min="273" max="273" width="5.09765625" style="20" customWidth="1"/>
    <col min="274" max="513" width="9"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9" style="20"/>
    <col min="528" max="528" width="7.59765625" style="20" customWidth="1"/>
    <col min="529" max="529" width="5.09765625" style="20" customWidth="1"/>
    <col min="530" max="769" width="9"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9" style="20"/>
    <col min="784" max="784" width="7.59765625" style="20" customWidth="1"/>
    <col min="785" max="785" width="5.09765625" style="20" customWidth="1"/>
    <col min="786" max="1025" width="9"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9" style="20"/>
    <col min="1040" max="1040" width="7.59765625" style="20" customWidth="1"/>
    <col min="1041" max="1041" width="5.09765625" style="20" customWidth="1"/>
    <col min="1042" max="1281" width="9"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9" style="20"/>
    <col min="1296" max="1296" width="7.59765625" style="20" customWidth="1"/>
    <col min="1297" max="1297" width="5.09765625" style="20" customWidth="1"/>
    <col min="1298" max="1537" width="9"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9" style="20"/>
    <col min="1552" max="1552" width="7.59765625" style="20" customWidth="1"/>
    <col min="1553" max="1553" width="5.09765625" style="20" customWidth="1"/>
    <col min="1554" max="1793" width="9"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9" style="20"/>
    <col min="1808" max="1808" width="7.59765625" style="20" customWidth="1"/>
    <col min="1809" max="1809" width="5.09765625" style="20" customWidth="1"/>
    <col min="1810" max="2049" width="9"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9" style="20"/>
    <col min="2064" max="2064" width="7.59765625" style="20" customWidth="1"/>
    <col min="2065" max="2065" width="5.09765625" style="20" customWidth="1"/>
    <col min="2066" max="2305" width="9"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9" style="20"/>
    <col min="2320" max="2320" width="7.59765625" style="20" customWidth="1"/>
    <col min="2321" max="2321" width="5.09765625" style="20" customWidth="1"/>
    <col min="2322" max="2561" width="9"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9" style="20"/>
    <col min="2576" max="2576" width="7.59765625" style="20" customWidth="1"/>
    <col min="2577" max="2577" width="5.09765625" style="20" customWidth="1"/>
    <col min="2578" max="2817" width="9"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9" style="20"/>
    <col min="2832" max="2832" width="7.59765625" style="20" customWidth="1"/>
    <col min="2833" max="2833" width="5.09765625" style="20" customWidth="1"/>
    <col min="2834" max="3073" width="9"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9" style="20"/>
    <col min="3088" max="3088" width="7.59765625" style="20" customWidth="1"/>
    <col min="3089" max="3089" width="5.09765625" style="20" customWidth="1"/>
    <col min="3090" max="3329" width="9"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9" style="20"/>
    <col min="3344" max="3344" width="7.59765625" style="20" customWidth="1"/>
    <col min="3345" max="3345" width="5.09765625" style="20" customWidth="1"/>
    <col min="3346" max="3585" width="9"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9" style="20"/>
    <col min="3600" max="3600" width="7.59765625" style="20" customWidth="1"/>
    <col min="3601" max="3601" width="5.09765625" style="20" customWidth="1"/>
    <col min="3602" max="3841" width="9"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9" style="20"/>
    <col min="3856" max="3856" width="7.59765625" style="20" customWidth="1"/>
    <col min="3857" max="3857" width="5.09765625" style="20" customWidth="1"/>
    <col min="3858" max="4097" width="9"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9" style="20"/>
    <col min="4112" max="4112" width="7.59765625" style="20" customWidth="1"/>
    <col min="4113" max="4113" width="5.09765625" style="20" customWidth="1"/>
    <col min="4114" max="4353" width="9"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9" style="20"/>
    <col min="4368" max="4368" width="7.59765625" style="20" customWidth="1"/>
    <col min="4369" max="4369" width="5.09765625" style="20" customWidth="1"/>
    <col min="4370" max="4609" width="9"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9" style="20"/>
    <col min="4624" max="4624" width="7.59765625" style="20" customWidth="1"/>
    <col min="4625" max="4625" width="5.09765625" style="20" customWidth="1"/>
    <col min="4626" max="4865" width="9"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9" style="20"/>
    <col min="4880" max="4880" width="7.59765625" style="20" customWidth="1"/>
    <col min="4881" max="4881" width="5.09765625" style="20" customWidth="1"/>
    <col min="4882" max="5121" width="9"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9" style="20"/>
    <col min="5136" max="5136" width="7.59765625" style="20" customWidth="1"/>
    <col min="5137" max="5137" width="5.09765625" style="20" customWidth="1"/>
    <col min="5138" max="5377" width="9"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9" style="20"/>
    <col min="5392" max="5392" width="7.59765625" style="20" customWidth="1"/>
    <col min="5393" max="5393" width="5.09765625" style="20" customWidth="1"/>
    <col min="5394" max="5633" width="9"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9" style="20"/>
    <col min="5648" max="5648" width="7.59765625" style="20" customWidth="1"/>
    <col min="5649" max="5649" width="5.09765625" style="20" customWidth="1"/>
    <col min="5650" max="5889" width="9"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9" style="20"/>
    <col min="5904" max="5904" width="7.59765625" style="20" customWidth="1"/>
    <col min="5905" max="5905" width="5.09765625" style="20" customWidth="1"/>
    <col min="5906" max="6145" width="9"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9" style="20"/>
    <col min="6160" max="6160" width="7.59765625" style="20" customWidth="1"/>
    <col min="6161" max="6161" width="5.09765625" style="20" customWidth="1"/>
    <col min="6162" max="6401" width="9"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9" style="20"/>
    <col min="6416" max="6416" width="7.59765625" style="20" customWidth="1"/>
    <col min="6417" max="6417" width="5.09765625" style="20" customWidth="1"/>
    <col min="6418" max="6657" width="9"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9" style="20"/>
    <col min="6672" max="6672" width="7.59765625" style="20" customWidth="1"/>
    <col min="6673" max="6673" width="5.09765625" style="20" customWidth="1"/>
    <col min="6674" max="6913" width="9"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9" style="20"/>
    <col min="6928" max="6928" width="7.59765625" style="20" customWidth="1"/>
    <col min="6929" max="6929" width="5.09765625" style="20" customWidth="1"/>
    <col min="6930" max="7169" width="9"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9" style="20"/>
    <col min="7184" max="7184" width="7.59765625" style="20" customWidth="1"/>
    <col min="7185" max="7185" width="5.09765625" style="20" customWidth="1"/>
    <col min="7186" max="7425" width="9"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9" style="20"/>
    <col min="7440" max="7440" width="7.59765625" style="20" customWidth="1"/>
    <col min="7441" max="7441" width="5.09765625" style="20" customWidth="1"/>
    <col min="7442" max="7681" width="9"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9" style="20"/>
    <col min="7696" max="7696" width="7.59765625" style="20" customWidth="1"/>
    <col min="7697" max="7697" width="5.09765625" style="20" customWidth="1"/>
    <col min="7698" max="7937" width="9"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9" style="20"/>
    <col min="7952" max="7952" width="7.59765625" style="20" customWidth="1"/>
    <col min="7953" max="7953" width="5.09765625" style="20" customWidth="1"/>
    <col min="7954" max="8193" width="9"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9" style="20"/>
    <col min="8208" max="8208" width="7.59765625" style="20" customWidth="1"/>
    <col min="8209" max="8209" width="5.09765625" style="20" customWidth="1"/>
    <col min="8210" max="8449" width="9"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9" style="20"/>
    <col min="8464" max="8464" width="7.59765625" style="20" customWidth="1"/>
    <col min="8465" max="8465" width="5.09765625" style="20" customWidth="1"/>
    <col min="8466" max="8705" width="9"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9" style="20"/>
    <col min="8720" max="8720" width="7.59765625" style="20" customWidth="1"/>
    <col min="8721" max="8721" width="5.09765625" style="20" customWidth="1"/>
    <col min="8722" max="8961" width="9"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9" style="20"/>
    <col min="8976" max="8976" width="7.59765625" style="20" customWidth="1"/>
    <col min="8977" max="8977" width="5.09765625" style="20" customWidth="1"/>
    <col min="8978" max="9217" width="9"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9" style="20"/>
    <col min="9232" max="9232" width="7.59765625" style="20" customWidth="1"/>
    <col min="9233" max="9233" width="5.09765625" style="20" customWidth="1"/>
    <col min="9234" max="9473" width="9"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9" style="20"/>
    <col min="9488" max="9488" width="7.59765625" style="20" customWidth="1"/>
    <col min="9489" max="9489" width="5.09765625" style="20" customWidth="1"/>
    <col min="9490" max="9729" width="9"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9" style="20"/>
    <col min="9744" max="9744" width="7.59765625" style="20" customWidth="1"/>
    <col min="9745" max="9745" width="5.09765625" style="20" customWidth="1"/>
    <col min="9746" max="9985" width="9"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9" style="20"/>
    <col min="10000" max="10000" width="7.59765625" style="20" customWidth="1"/>
    <col min="10001" max="10001" width="5.09765625" style="20" customWidth="1"/>
    <col min="10002" max="10241" width="9"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9" style="20"/>
    <col min="10256" max="10256" width="7.59765625" style="20" customWidth="1"/>
    <col min="10257" max="10257" width="5.09765625" style="20" customWidth="1"/>
    <col min="10258" max="10497" width="9"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9" style="20"/>
    <col min="10512" max="10512" width="7.59765625" style="20" customWidth="1"/>
    <col min="10513" max="10513" width="5.09765625" style="20" customWidth="1"/>
    <col min="10514" max="10753" width="9"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9" style="20"/>
    <col min="10768" max="10768" width="7.59765625" style="20" customWidth="1"/>
    <col min="10769" max="10769" width="5.09765625" style="20" customWidth="1"/>
    <col min="10770" max="11009" width="9"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9" style="20"/>
    <col min="11024" max="11024" width="7.59765625" style="20" customWidth="1"/>
    <col min="11025" max="11025" width="5.09765625" style="20" customWidth="1"/>
    <col min="11026" max="11265" width="9"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9" style="20"/>
    <col min="11280" max="11280" width="7.59765625" style="20" customWidth="1"/>
    <col min="11281" max="11281" width="5.09765625" style="20" customWidth="1"/>
    <col min="11282" max="11521" width="9"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9" style="20"/>
    <col min="11536" max="11536" width="7.59765625" style="20" customWidth="1"/>
    <col min="11537" max="11537" width="5.09765625" style="20" customWidth="1"/>
    <col min="11538" max="11777" width="9"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9" style="20"/>
    <col min="11792" max="11792" width="7.59765625" style="20" customWidth="1"/>
    <col min="11793" max="11793" width="5.09765625" style="20" customWidth="1"/>
    <col min="11794" max="12033" width="9"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9" style="20"/>
    <col min="12048" max="12048" width="7.59765625" style="20" customWidth="1"/>
    <col min="12049" max="12049" width="5.09765625" style="20" customWidth="1"/>
    <col min="12050" max="12289" width="9"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9" style="20"/>
    <col min="12304" max="12304" width="7.59765625" style="20" customWidth="1"/>
    <col min="12305" max="12305" width="5.09765625" style="20" customWidth="1"/>
    <col min="12306" max="12545" width="9"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9" style="20"/>
    <col min="12560" max="12560" width="7.59765625" style="20" customWidth="1"/>
    <col min="12561" max="12561" width="5.09765625" style="20" customWidth="1"/>
    <col min="12562" max="12801" width="9"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9" style="20"/>
    <col min="12816" max="12816" width="7.59765625" style="20" customWidth="1"/>
    <col min="12817" max="12817" width="5.09765625" style="20" customWidth="1"/>
    <col min="12818" max="13057" width="9"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9" style="20"/>
    <col min="13072" max="13072" width="7.59765625" style="20" customWidth="1"/>
    <col min="13073" max="13073" width="5.09765625" style="20" customWidth="1"/>
    <col min="13074" max="13313" width="9"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9" style="20"/>
    <col min="13328" max="13328" width="7.59765625" style="20" customWidth="1"/>
    <col min="13329" max="13329" width="5.09765625" style="20" customWidth="1"/>
    <col min="13330" max="13569" width="9"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9" style="20"/>
    <col min="13584" max="13584" width="7.59765625" style="20" customWidth="1"/>
    <col min="13585" max="13585" width="5.09765625" style="20" customWidth="1"/>
    <col min="13586" max="13825" width="9"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9" style="20"/>
    <col min="13840" max="13840" width="7.59765625" style="20" customWidth="1"/>
    <col min="13841" max="13841" width="5.09765625" style="20" customWidth="1"/>
    <col min="13842" max="14081" width="9"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9" style="20"/>
    <col min="14096" max="14096" width="7.59765625" style="20" customWidth="1"/>
    <col min="14097" max="14097" width="5.09765625" style="20" customWidth="1"/>
    <col min="14098" max="14337" width="9"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9" style="20"/>
    <col min="14352" max="14352" width="7.59765625" style="20" customWidth="1"/>
    <col min="14353" max="14353" width="5.09765625" style="20" customWidth="1"/>
    <col min="14354" max="14593" width="9"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9" style="20"/>
    <col min="14608" max="14608" width="7.59765625" style="20" customWidth="1"/>
    <col min="14609" max="14609" width="5.09765625" style="20" customWidth="1"/>
    <col min="14610" max="14849" width="9"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9" style="20"/>
    <col min="14864" max="14864" width="7.59765625" style="20" customWidth="1"/>
    <col min="14865" max="14865" width="5.09765625" style="20" customWidth="1"/>
    <col min="14866" max="15105" width="9"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9" style="20"/>
    <col min="15120" max="15120" width="7.59765625" style="20" customWidth="1"/>
    <col min="15121" max="15121" width="5.09765625" style="20" customWidth="1"/>
    <col min="15122" max="15361" width="9"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9" style="20"/>
    <col min="15376" max="15376" width="7.59765625" style="20" customWidth="1"/>
    <col min="15377" max="15377" width="5.09765625" style="20" customWidth="1"/>
    <col min="15378" max="15617" width="9"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9" style="20"/>
    <col min="15632" max="15632" width="7.59765625" style="20" customWidth="1"/>
    <col min="15633" max="15633" width="5.09765625" style="20" customWidth="1"/>
    <col min="15634" max="15873" width="9"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9" style="20"/>
    <col min="15888" max="15888" width="7.59765625" style="20" customWidth="1"/>
    <col min="15889" max="15889" width="5.09765625" style="20" customWidth="1"/>
    <col min="15890" max="16129" width="9"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9" style="20"/>
    <col min="16144" max="16144" width="7.59765625" style="20" customWidth="1"/>
    <col min="16145" max="16145" width="5.09765625" style="20" customWidth="1"/>
    <col min="16146" max="16384" width="9"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U_001</v>
      </c>
      <c r="F4" s="203"/>
      <c r="G4" s="189" t="s">
        <v>222</v>
      </c>
      <c r="H4" s="189"/>
      <c r="I4" s="192" t="str">
        <f ca="1">IFERROR(VLOOKUP($E$4,자산목록!$A$1:$I$844,2,FALSE),"N/A")</f>
        <v xml:space="preserve"> idt-gov-jenkins</v>
      </c>
      <c r="J4" s="192"/>
      <c r="K4" s="78"/>
      <c r="L4" s="73"/>
      <c r="M4" s="79"/>
      <c r="N4" s="79"/>
    </row>
    <row r="5" spans="1:14" ht="13.5" customHeight="1">
      <c r="A5" s="189" t="s">
        <v>223</v>
      </c>
      <c r="B5" s="189"/>
      <c r="C5" s="189"/>
      <c r="D5" s="189"/>
      <c r="E5" s="190" t="str">
        <f ca="1">IFERROR(VLOOKUP($E$4,자산목록!$A$1:$I$851,4,FALSE),"N/A") &amp; " " &amp; IFERROR(VLOOKUP($E$4,자산목록!$A$1:$I$851,5,FALSE),"N/A")</f>
        <v>Rocky Linux 8.6</v>
      </c>
      <c r="F5" s="191"/>
      <c r="G5" s="189" t="s">
        <v>224</v>
      </c>
      <c r="H5" s="189"/>
      <c r="I5" s="192" t="str">
        <f ca="1">IFERROR(VLOOKUP($E$4,자산목록!$A$1:$I$844,3,FALSE),"N/A")</f>
        <v>10.0.0.10</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4</v>
      </c>
      <c r="H12" s="89">
        <f ca="1">SUMIF($B$21:INDIRECT(ADDRESS(MATCH("",$B:$B,-1),2,1,1)),$A12&amp;"*",$M$21:INDIRECT(ADDRESS(MATCH("",$B:$B,-1),13,1,1)))</f>
        <v>14</v>
      </c>
      <c r="I12" s="89">
        <f ca="1">SUMIF($B$21:INDIRECT(ADDRESS(MATCH("",$B:$B,-1),2,1,1)),$A12&amp;"*",$N$21:INDIRECT(ADDRESS(MATCH("",$B:$B,-1),14,1,1)))</f>
        <v>11</v>
      </c>
      <c r="J12" s="90">
        <f ca="1">IF(F12=0, "N/A", (I12/H12))</f>
        <v>0.7857142857142857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13</v>
      </c>
      <c r="H13" s="89">
        <f ca="1">SUMIF($B$21:INDIRECT(ADDRESS(MATCH("",$B:$B,-1),2,1,1)),$A13&amp;"*",$M$21:INDIRECT(ADDRESS(MATCH("",$B:$B,-1),13,1,1)))</f>
        <v>42</v>
      </c>
      <c r="I13" s="89">
        <f ca="1">SUMIF($B$21:INDIRECT(ADDRESS(MATCH("",$B:$B,-1),2,1,1)),$A13&amp;"*",$N$21:INDIRECT(ADDRESS(MATCH("",$B:$B,-1),14,1,1)))</f>
        <v>39</v>
      </c>
      <c r="J13" s="90">
        <f ca="1">IF(F13=0, "N/A", (I13/H13))</f>
        <v>0.9285714285714286</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32</v>
      </c>
      <c r="H16" s="95">
        <f ca="1">SUM(H12:H15)</f>
        <v>107</v>
      </c>
      <c r="I16" s="95">
        <f ca="1">SUM(I12:I15)</f>
        <v>95</v>
      </c>
      <c r="J16" s="96">
        <f ca="1">IF(H16=0,"N/A",I16/H16)</f>
        <v>0.88785046728971961</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105.6">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Y</v>
      </c>
      <c r="K21" s="146" t="s">
        <v>308</v>
      </c>
      <c r="L21" s="108" t="str">
        <f>IF(J21="N",ChkList!G6,"")</f>
        <v/>
      </c>
      <c r="M21" s="105">
        <f>IF($J21="N/A",0,VLOOKUP($I21,ChkList!$A$47:$B$49,2,FALSE))*1</f>
        <v>3</v>
      </c>
      <c r="N21" s="106">
        <f>IFERROR(VLOOKUP($I21,ChkList!$A$47:$B$49,2,FALSE)*VLOOKUP($J21,ChkList!$A$52:$B$54,2,FALSE),0)</f>
        <v>3</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6" t="s">
        <v>310</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82.4">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Y</v>
      </c>
      <c r="K23" s="146" t="s">
        <v>309</v>
      </c>
      <c r="L23" s="108" t="str">
        <f>IF(J23="N",ChkList!G8,"")</f>
        <v/>
      </c>
      <c r="M23" s="105">
        <f>IF($J23="N/A",0,VLOOKUP($I23,ChkList!$A$47:$B$49,2,FALSE))*1</f>
        <v>3</v>
      </c>
      <c r="N23" s="106">
        <f>IFERROR(VLOOKUP($I23,ChkList!$A$47:$B$49,2,FALSE)*VLOOKUP($J23,ChkList!$A$52:$B$54,2,FALSE),0)</f>
        <v>3</v>
      </c>
    </row>
    <row r="24" spans="1:14" ht="134.4">
      <c r="A24" s="107"/>
      <c r="B24" s="140" t="s">
        <v>96</v>
      </c>
      <c r="C24" s="106" t="str">
        <f>ChkList!$B9</f>
        <v>U-04</v>
      </c>
      <c r="D24" s="182" t="str">
        <f>ChkList!$C9</f>
        <v>패스워드 최대 사용 기간 설정</v>
      </c>
      <c r="E24" s="182"/>
      <c r="F24" s="182"/>
      <c r="G24" s="182"/>
      <c r="H24" s="182"/>
      <c r="I24" s="106" t="str">
        <f>ChkList!$D9</f>
        <v>M</v>
      </c>
      <c r="J24" s="129" t="str">
        <f t="shared" si="0"/>
        <v>Y</v>
      </c>
      <c r="K24" s="146" t="s">
        <v>311</v>
      </c>
      <c r="L24" s="108" t="str">
        <f>IF(J24="N",ChkList!G9,"")</f>
        <v/>
      </c>
      <c r="M24" s="105">
        <f>IF($J24="N/A",0,VLOOKUP($I24,ChkList!$A$47:$B$49,2,FALSE))*1</f>
        <v>2</v>
      </c>
      <c r="N24" s="106">
        <f>IFERROR(VLOOKUP($I24,ChkList!$A$47:$B$49,2,FALSE)*VLOOKUP($J24,ChkList!$A$52:$B$54,2,FALSE),0)</f>
        <v>2</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6" t="s">
        <v>312</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86.4">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6" t="s">
        <v>313</v>
      </c>
      <c r="L27" s="108" t="str">
        <f>IF(J27="N",ChkList!G12,"")</f>
        <v/>
      </c>
      <c r="M27" s="105">
        <f>IF($J27="N/A",0,VLOOKUP($I27,ChkList!$A$47:$B$49,2,FALSE))*1</f>
        <v>3</v>
      </c>
      <c r="N27" s="106">
        <f>IFERROR(VLOOKUP($I27,ChkList!$A$47:$B$49,2,FALSE)*VLOOKUP($J27,ChkList!$A$52:$B$54,2,FALSE),0)</f>
        <v>3</v>
      </c>
    </row>
    <row r="28" spans="1:14" ht="96">
      <c r="A28" s="107"/>
      <c r="B28" s="140" t="s">
        <v>98</v>
      </c>
      <c r="C28" s="106" t="str">
        <f>ChkList!$B13</f>
        <v>U-07</v>
      </c>
      <c r="D28" s="182" t="str">
        <f>ChkList!$C13</f>
        <v>파일 및 디렉터리 소유자 설정</v>
      </c>
      <c r="E28" s="182"/>
      <c r="F28" s="182"/>
      <c r="G28" s="182"/>
      <c r="H28" s="182"/>
      <c r="I28" s="106" t="str">
        <f>ChkList!$D13</f>
        <v>H</v>
      </c>
      <c r="J28" s="129" t="str">
        <f t="shared" si="0"/>
        <v>Y</v>
      </c>
      <c r="K28" s="146" t="s">
        <v>314</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6" t="s">
        <v>315</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6" t="s">
        <v>316</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6" t="s">
        <v>317</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5" t="s">
        <v>241</v>
      </c>
      <c r="L32" s="108" t="str">
        <f>IF(J32="N",ChkList!G17,"")</f>
        <v/>
      </c>
      <c r="M32" s="105">
        <f>IF($J32="N/A",0,VLOOKUP($I32,ChkList!$A$47:$B$49,2,FALSE))*1</f>
        <v>3</v>
      </c>
      <c r="N32" s="106">
        <f>IFERROR(VLOOKUP($I32,ChkList!$A$47:$B$49,2,FALSE)*VLOOKUP($J32,ChkList!$A$52:$B$54,2,FALSE),0)</f>
        <v>3</v>
      </c>
    </row>
    <row r="33" spans="1:14" ht="86.4">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6" t="s">
        <v>318</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6" t="s">
        <v>319</v>
      </c>
      <c r="L34" s="108" t="str">
        <f>IF(J34="N",ChkList!G19,"")</f>
        <v/>
      </c>
      <c r="M34" s="105">
        <f>IF($J34="N/A",0,VLOOKUP($I34,ChkList!$A$47:$B$49,2,FALSE))*1</f>
        <v>3</v>
      </c>
      <c r="N34" s="106">
        <f>IFERROR(VLOOKUP($I34,ChkList!$A$47:$B$49,2,FALSE)*VLOOKUP($J34,ChkList!$A$52:$B$54,2,FALSE),0)</f>
        <v>3</v>
      </c>
    </row>
    <row r="35" spans="1:14" ht="96">
      <c r="A35" s="107"/>
      <c r="B35" s="140" t="s">
        <v>105</v>
      </c>
      <c r="C35" s="106" t="str">
        <f>ChkList!$B20</f>
        <v>U-14</v>
      </c>
      <c r="D35" s="182" t="str">
        <f>ChkList!$C20</f>
        <v>SUID, SGID, Sticky bit 설정 파일 점검</v>
      </c>
      <c r="E35" s="182"/>
      <c r="F35" s="182"/>
      <c r="G35" s="182"/>
      <c r="H35" s="182"/>
      <c r="I35" s="106" t="str">
        <f>ChkList!$D20</f>
        <v>H</v>
      </c>
      <c r="J35" s="129" t="str">
        <f t="shared" si="0"/>
        <v>Y</v>
      </c>
      <c r="K35" s="146" t="s">
        <v>320</v>
      </c>
      <c r="L35" s="108" t="str">
        <f>IF(J35="N",ChkList!G20,"")</f>
        <v/>
      </c>
      <c r="M35" s="105">
        <f>IF($J35="N/A",0,VLOOKUP($I35,ChkList!$A$47:$B$49,2,FALSE))*1</f>
        <v>3</v>
      </c>
      <c r="N35" s="106">
        <f>IFERROR(VLOOKUP($I35,ChkList!$A$47:$B$49,2,FALSE)*VLOOKUP($J35,ChkList!$A$52:$B$54,2,FALSE),0)</f>
        <v>3</v>
      </c>
    </row>
    <row r="36" spans="1:14" ht="33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6" t="s">
        <v>321</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6" t="s">
        <v>322</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82.4">
      <c r="A39" s="107"/>
      <c r="B39" s="140" t="s">
        <v>109</v>
      </c>
      <c r="C39" s="106" t="str">
        <f>ChkList!$B24</f>
        <v>U-18</v>
      </c>
      <c r="D39" s="182" t="str">
        <f>ChkList!$C24</f>
        <v>접속 IP 및 포트 제한</v>
      </c>
      <c r="E39" s="182"/>
      <c r="F39" s="182"/>
      <c r="G39" s="182"/>
      <c r="H39" s="182"/>
      <c r="I39" s="106" t="str">
        <f>ChkList!$D24</f>
        <v>H</v>
      </c>
      <c r="J39" s="129" t="str">
        <f t="shared" si="0"/>
        <v>N</v>
      </c>
      <c r="K39" s="146" t="s">
        <v>324</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24.8">
      <c r="A40" s="107"/>
      <c r="B40" s="140" t="s">
        <v>166</v>
      </c>
      <c r="C40" s="106" t="str">
        <f>ChkList!$B25</f>
        <v>U-19</v>
      </c>
      <c r="D40" s="182" t="str">
        <f>ChkList!$C25</f>
        <v>cron 파일 소유자 및 권한 설정</v>
      </c>
      <c r="E40" s="182"/>
      <c r="F40" s="182"/>
      <c r="G40" s="182"/>
      <c r="H40" s="182"/>
      <c r="I40" s="106" t="str">
        <f>ChkList!$D25</f>
        <v>H</v>
      </c>
      <c r="J40" s="129" t="str">
        <f t="shared" si="0"/>
        <v>Y</v>
      </c>
      <c r="K40" s="146" t="s">
        <v>325</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243</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326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327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251</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55.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6" t="s">
        <v>328</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53" priority="2" stopIfTrue="1" operator="equal">
      <formula>"N/A"</formula>
    </cfRule>
    <cfRule type="cellIs" dxfId="52" priority="3" stopIfTrue="1" operator="equal">
      <formula>"N"</formula>
    </cfRule>
  </conditionalFormatting>
  <conditionalFormatting sqref="J21:J59">
    <cfRule type="containsText" dxfId="51" priority="1" operator="containsText" text="인터뷰">
      <formula>NOT(ISERROR(SEARCH("인터뷰",J21)))</formula>
    </cfRule>
  </conditionalFormatting>
  <dataValidations disablePrompts="1"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00000000-0002-0000-0500-000000000000}">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2E28E-DF3C-4264-8CF4-AE688EC6A9C4}">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U_002</v>
      </c>
      <c r="F4" s="203"/>
      <c r="G4" s="189" t="s">
        <v>222</v>
      </c>
      <c r="H4" s="189"/>
      <c r="I4" s="192" t="str">
        <f ca="1">IFERROR(VLOOKUP($E$4,자산목록!$A$1:$I$844,2,FALSE),"N/A")</f>
        <v>igt-gov-bastion</v>
      </c>
      <c r="J4" s="192"/>
      <c r="K4" s="78"/>
      <c r="L4" s="73"/>
      <c r="M4" s="79"/>
      <c r="N4" s="79"/>
    </row>
    <row r="5" spans="1:14" ht="13.5" customHeight="1">
      <c r="A5" s="189" t="s">
        <v>223</v>
      </c>
      <c r="B5" s="189"/>
      <c r="C5" s="189"/>
      <c r="D5" s="189"/>
      <c r="E5" s="190" t="str">
        <f ca="1">IFERROR(VLOOKUP($E$4,자산목록!$A$1:$I$851,4,FALSE),"N/A") &amp; " " &amp; IFERROR(VLOOKUP($E$4,자산목록!$A$1:$I$851,5,FALSE),"N/A")</f>
        <v>Rocky Linux 8.6</v>
      </c>
      <c r="F5" s="191"/>
      <c r="G5" s="189" t="s">
        <v>224</v>
      </c>
      <c r="H5" s="189"/>
      <c r="I5" s="192" t="str">
        <f ca="1">IFERROR(VLOOKUP($E$4,자산목록!$A$1:$I$844,3,FALSE),"N/A")</f>
        <v>10.0.2.10</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4</v>
      </c>
      <c r="H12" s="89">
        <f ca="1">SUMIF($B$21:INDIRECT(ADDRESS(MATCH("",$B:$B,-1),2,1,1)),$A12&amp;"*",$M$21:INDIRECT(ADDRESS(MATCH("",$B:$B,-1),13,1,1)))</f>
        <v>14</v>
      </c>
      <c r="I12" s="89">
        <f ca="1">SUMIF($B$21:INDIRECT(ADDRESS(MATCH("",$B:$B,-1),2,1,1)),$A12&amp;"*",$N$21:INDIRECT(ADDRESS(MATCH("",$B:$B,-1),14,1,1)))</f>
        <v>11</v>
      </c>
      <c r="J12" s="90">
        <f ca="1">IF(F12=0, "N/A", (I12/H12))</f>
        <v>0.7857142857142857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13</v>
      </c>
      <c r="H13" s="89">
        <f ca="1">SUMIF($B$21:INDIRECT(ADDRESS(MATCH("",$B:$B,-1),2,1,1)),$A13&amp;"*",$M$21:INDIRECT(ADDRESS(MATCH("",$B:$B,-1),13,1,1)))</f>
        <v>42</v>
      </c>
      <c r="I13" s="89">
        <f ca="1">SUMIF($B$21:INDIRECT(ADDRESS(MATCH("",$B:$B,-1),2,1,1)),$A13&amp;"*",$N$21:INDIRECT(ADDRESS(MATCH("",$B:$B,-1),14,1,1)))</f>
        <v>39</v>
      </c>
      <c r="J13" s="90">
        <f ca="1">IF(F13=0, "N/A", (I13/H13))</f>
        <v>0.9285714285714286</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32</v>
      </c>
      <c r="H16" s="95">
        <f ca="1">SUM(H12:H15)</f>
        <v>107</v>
      </c>
      <c r="I16" s="95">
        <f ca="1">SUM(I12:I15)</f>
        <v>95</v>
      </c>
      <c r="J16" s="96">
        <f ca="1">IF(H16=0,"N/A",I16/H16)</f>
        <v>0.88785046728971961</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105.6">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Y</v>
      </c>
      <c r="K21" s="146" t="s">
        <v>308</v>
      </c>
      <c r="L21" s="108" t="str">
        <f>IF(J21="N",ChkList!G6,"")</f>
        <v/>
      </c>
      <c r="M21" s="105">
        <f>IF($J21="N/A",0,VLOOKUP($I21,ChkList!$A$47:$B$49,2,FALSE))*1</f>
        <v>3</v>
      </c>
      <c r="N21" s="106">
        <f>IFERROR(VLOOKUP($I21,ChkList!$A$47:$B$49,2,FALSE)*VLOOKUP($J21,ChkList!$A$52:$B$54,2,FALSE),0)</f>
        <v>3</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6" t="s">
        <v>329</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211.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Y</v>
      </c>
      <c r="K23" s="146" t="s">
        <v>330</v>
      </c>
      <c r="L23" s="108" t="str">
        <f>IF(J23="N",ChkList!G8,"")</f>
        <v/>
      </c>
      <c r="M23" s="105">
        <f>IF($J23="N/A",0,VLOOKUP($I23,ChkList!$A$47:$B$49,2,FALSE))*1</f>
        <v>3</v>
      </c>
      <c r="N23" s="106">
        <f>IFERROR(VLOOKUP($I23,ChkList!$A$47:$B$49,2,FALSE)*VLOOKUP($J23,ChkList!$A$52:$B$54,2,FALSE),0)</f>
        <v>3</v>
      </c>
    </row>
    <row r="24" spans="1:14" ht="134.4">
      <c r="A24" s="107"/>
      <c r="B24" s="140" t="s">
        <v>96</v>
      </c>
      <c r="C24" s="106" t="str">
        <f>ChkList!$B9</f>
        <v>U-04</v>
      </c>
      <c r="D24" s="182" t="str">
        <f>ChkList!$C9</f>
        <v>패스워드 최대 사용 기간 설정</v>
      </c>
      <c r="E24" s="182"/>
      <c r="F24" s="182"/>
      <c r="G24" s="182"/>
      <c r="H24" s="182"/>
      <c r="I24" s="106" t="str">
        <f>ChkList!$D9</f>
        <v>M</v>
      </c>
      <c r="J24" s="129" t="str">
        <f t="shared" si="0"/>
        <v>Y</v>
      </c>
      <c r="K24" s="146" t="s">
        <v>311</v>
      </c>
      <c r="L24" s="108" t="str">
        <f>IF(J24="N",ChkList!G9,"")</f>
        <v/>
      </c>
      <c r="M24" s="105">
        <f>IF($J24="N/A",0,VLOOKUP($I24,ChkList!$A$47:$B$49,2,FALSE))*1</f>
        <v>2</v>
      </c>
      <c r="N24" s="106">
        <f>IFERROR(VLOOKUP($I24,ChkList!$A$47:$B$49,2,FALSE)*VLOOKUP($J24,ChkList!$A$52:$B$54,2,FALSE),0)</f>
        <v>2</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6" t="s">
        <v>331</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86.4">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6" t="s">
        <v>313</v>
      </c>
      <c r="L27" s="108" t="str">
        <f>IF(J27="N",ChkList!G12,"")</f>
        <v/>
      </c>
      <c r="M27" s="105">
        <f>IF($J27="N/A",0,VLOOKUP($I27,ChkList!$A$47:$B$49,2,FALSE))*1</f>
        <v>3</v>
      </c>
      <c r="N27" s="106">
        <f>IFERROR(VLOOKUP($I27,ChkList!$A$47:$B$49,2,FALSE)*VLOOKUP($J27,ChkList!$A$52:$B$54,2,FALSE),0)</f>
        <v>3</v>
      </c>
    </row>
    <row r="28" spans="1:14" ht="96">
      <c r="A28" s="107"/>
      <c r="B28" s="140" t="s">
        <v>98</v>
      </c>
      <c r="C28" s="106" t="str">
        <f>ChkList!$B13</f>
        <v>U-07</v>
      </c>
      <c r="D28" s="182" t="str">
        <f>ChkList!$C13</f>
        <v>파일 및 디렉터리 소유자 설정</v>
      </c>
      <c r="E28" s="182"/>
      <c r="F28" s="182"/>
      <c r="G28" s="182"/>
      <c r="H28" s="182"/>
      <c r="I28" s="106" t="str">
        <f>ChkList!$D13</f>
        <v>H</v>
      </c>
      <c r="J28" s="129" t="str">
        <f t="shared" si="0"/>
        <v>Y</v>
      </c>
      <c r="K28" s="146" t="s">
        <v>314</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6" t="s">
        <v>332</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6" t="s">
        <v>333</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6" t="s">
        <v>317</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5" t="s">
        <v>241</v>
      </c>
      <c r="L32" s="108" t="str">
        <f>IF(J32="N",ChkList!G17,"")</f>
        <v/>
      </c>
      <c r="M32" s="105">
        <f>IF($J32="N/A",0,VLOOKUP($I32,ChkList!$A$47:$B$49,2,FALSE))*1</f>
        <v>3</v>
      </c>
      <c r="N32" s="106">
        <f>IFERROR(VLOOKUP($I32,ChkList!$A$47:$B$49,2,FALSE)*VLOOKUP($J32,ChkList!$A$52:$B$54,2,FALSE),0)</f>
        <v>3</v>
      </c>
    </row>
    <row r="33" spans="1:14" ht="86.4">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6" t="s">
        <v>318</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6" t="s">
        <v>319</v>
      </c>
      <c r="L34" s="108" t="str">
        <f>IF(J34="N",ChkList!G19,"")</f>
        <v/>
      </c>
      <c r="M34" s="105">
        <f>IF($J34="N/A",0,VLOOKUP($I34,ChkList!$A$47:$B$49,2,FALSE))*1</f>
        <v>3</v>
      </c>
      <c r="N34" s="106">
        <f>IFERROR(VLOOKUP($I34,ChkList!$A$47:$B$49,2,FALSE)*VLOOKUP($J34,ChkList!$A$52:$B$54,2,FALSE),0)</f>
        <v>3</v>
      </c>
    </row>
    <row r="35" spans="1:14" ht="96">
      <c r="A35" s="107"/>
      <c r="B35" s="140" t="s">
        <v>105</v>
      </c>
      <c r="C35" s="106" t="str">
        <f>ChkList!$B20</f>
        <v>U-14</v>
      </c>
      <c r="D35" s="182" t="str">
        <f>ChkList!$C20</f>
        <v>SUID, SGID, Sticky bit 설정 파일 점검</v>
      </c>
      <c r="E35" s="182"/>
      <c r="F35" s="182"/>
      <c r="G35" s="182"/>
      <c r="H35" s="182"/>
      <c r="I35" s="106" t="str">
        <f>ChkList!$D20</f>
        <v>H</v>
      </c>
      <c r="J35" s="129" t="str">
        <f t="shared" si="0"/>
        <v>Y</v>
      </c>
      <c r="K35" s="146" t="s">
        <v>320</v>
      </c>
      <c r="L35" s="108" t="str">
        <f>IF(J35="N",ChkList!G20,"")</f>
        <v/>
      </c>
      <c r="M35" s="105">
        <f>IF($J35="N/A",0,VLOOKUP($I35,ChkList!$A$47:$B$49,2,FALSE))*1</f>
        <v>3</v>
      </c>
      <c r="N35" s="106">
        <f>IFERROR(VLOOKUP($I35,ChkList!$A$47:$B$49,2,FALSE)*VLOOKUP($J35,ChkList!$A$52:$B$54,2,FALSE),0)</f>
        <v>3</v>
      </c>
    </row>
    <row r="36" spans="1:14" ht="297.60000000000002">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6" t="s">
        <v>334</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6" t="s">
        <v>322</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63.19999999999999">
      <c r="A39" s="107"/>
      <c r="B39" s="140" t="s">
        <v>109</v>
      </c>
      <c r="C39" s="106" t="str">
        <f>ChkList!$B24</f>
        <v>U-18</v>
      </c>
      <c r="D39" s="182" t="str">
        <f>ChkList!$C24</f>
        <v>접속 IP 및 포트 제한</v>
      </c>
      <c r="E39" s="182"/>
      <c r="F39" s="182"/>
      <c r="G39" s="182"/>
      <c r="H39" s="182"/>
      <c r="I39" s="106" t="str">
        <f>ChkList!$D24</f>
        <v>H</v>
      </c>
      <c r="J39" s="129" t="str">
        <f t="shared" si="0"/>
        <v>N</v>
      </c>
      <c r="K39" s="146" t="s">
        <v>335</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24.8">
      <c r="A40" s="107"/>
      <c r="B40" s="140" t="s">
        <v>166</v>
      </c>
      <c r="C40" s="106" t="str">
        <f>ChkList!$B25</f>
        <v>U-19</v>
      </c>
      <c r="D40" s="182" t="str">
        <f>ChkList!$C25</f>
        <v>cron 파일 소유자 및 권한 설정</v>
      </c>
      <c r="E40" s="182"/>
      <c r="F40" s="182"/>
      <c r="G40" s="182"/>
      <c r="H40" s="182"/>
      <c r="I40" s="106" t="str">
        <f>ChkList!$D25</f>
        <v>H</v>
      </c>
      <c r="J40" s="129" t="str">
        <f t="shared" si="0"/>
        <v>Y</v>
      </c>
      <c r="K40" s="146" t="s">
        <v>325</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243</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326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327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251</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55.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6" t="s">
        <v>328</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50" priority="2" stopIfTrue="1" operator="equal">
      <formula>"N/A"</formula>
    </cfRule>
    <cfRule type="cellIs" dxfId="49" priority="3" stopIfTrue="1" operator="equal">
      <formula>"N"</formula>
    </cfRule>
  </conditionalFormatting>
  <conditionalFormatting sqref="J21:J59">
    <cfRule type="containsText" dxfId="48"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2A6ECA51-2281-46A3-818F-D88E73640803}">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4EA0D-D1C7-4ED5-A263-1774D2819B2B}">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U_003</v>
      </c>
      <c r="F4" s="203"/>
      <c r="G4" s="189" t="s">
        <v>222</v>
      </c>
      <c r="H4" s="189"/>
      <c r="I4" s="192" t="str">
        <f ca="1">IFERROR(VLOOKUP($E$4,자산목록!$A$1:$I$844,2,FALSE),"N/A")</f>
        <v xml:space="preserve">idt-gov-ngs </v>
      </c>
      <c r="J4" s="192"/>
      <c r="K4" s="78"/>
      <c r="L4" s="73"/>
      <c r="M4" s="79"/>
      <c r="N4" s="79"/>
    </row>
    <row r="5" spans="1:14" ht="13.5" customHeight="1">
      <c r="A5" s="189" t="s">
        <v>223</v>
      </c>
      <c r="B5" s="189"/>
      <c r="C5" s="189"/>
      <c r="D5" s="189"/>
      <c r="E5" s="190" t="str">
        <f ca="1">IFERROR(VLOOKUP($E$4,자산목록!$A$1:$I$851,4,FALSE),"N/A") &amp; " " &amp; IFERROR(VLOOKUP($E$4,자산목록!$A$1:$I$851,5,FALSE),"N/A")</f>
        <v>centos 7.8</v>
      </c>
      <c r="F5" s="191"/>
      <c r="G5" s="189" t="s">
        <v>224</v>
      </c>
      <c r="H5" s="189"/>
      <c r="I5" s="192" t="str">
        <f ca="1">IFERROR(VLOOKUP($E$4,자산목록!$A$1:$I$844,3,FALSE),"N/A")</f>
        <v>10.0.1.10</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5</v>
      </c>
      <c r="H12" s="89">
        <f ca="1">SUMIF($B$21:INDIRECT(ADDRESS(MATCH("",$B:$B,-1),2,1,1)),$A12&amp;"*",$M$21:INDIRECT(ADDRESS(MATCH("",$B:$B,-1),13,1,1)))</f>
        <v>14</v>
      </c>
      <c r="I12" s="89">
        <f ca="1">SUMIF($B$21:INDIRECT(ADDRESS(MATCH("",$B:$B,-1),2,1,1)),$A12&amp;"*",$N$21:INDIRECT(ADDRESS(MATCH("",$B:$B,-1),14,1,1)))</f>
        <v>14</v>
      </c>
      <c r="J12" s="90">
        <f ca="1">IF(F12=0, "N/A", (I12/H12))</f>
        <v>1</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13</v>
      </c>
      <c r="H13" s="89">
        <f ca="1">SUMIF($B$21:INDIRECT(ADDRESS(MATCH("",$B:$B,-1),2,1,1)),$A13&amp;"*",$M$21:INDIRECT(ADDRESS(MATCH("",$B:$B,-1),13,1,1)))</f>
        <v>42</v>
      </c>
      <c r="I13" s="89">
        <f ca="1">SUMIF($B$21:INDIRECT(ADDRESS(MATCH("",$B:$B,-1),2,1,1)),$A13&amp;"*",$N$21:INDIRECT(ADDRESS(MATCH("",$B:$B,-1),14,1,1)))</f>
        <v>39</v>
      </c>
      <c r="J13" s="90">
        <f ca="1">IF(F13=0, "N/A", (I13/H13))</f>
        <v>0.9285714285714286</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14</v>
      </c>
      <c r="H14" s="89">
        <f ca="1">SUMIF($B$21:INDIRECT(ADDRESS(MATCH("",$B:$B,-1),2,1,1)),$A14&amp;"*",$M$21:INDIRECT(ADDRESS(MATCH("",$B:$B,-1),13,1,1)))</f>
        <v>45</v>
      </c>
      <c r="I14" s="89">
        <f ca="1">SUMIF($B$21:INDIRECT(ADDRESS(MATCH("",$B:$B,-1),2,1,1)),$A14&amp;"*",$N$21:INDIRECT(ADDRESS(MATCH("",$B:$B,-1),14,1,1)))</f>
        <v>42</v>
      </c>
      <c r="J14" s="90">
        <f ca="1">IF(F14=0, "N/A", (I14/H14))</f>
        <v>0.93333333333333335</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32</v>
      </c>
      <c r="H16" s="95">
        <f ca="1">SUM(H12:H15)</f>
        <v>107</v>
      </c>
      <c r="I16" s="95">
        <f ca="1">SUM(I12:I15)</f>
        <v>95</v>
      </c>
      <c r="J16" s="96">
        <f ca="1">IF(H16=0,"N/A",I16/H16)</f>
        <v>0.88785046728971961</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105.6">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Y</v>
      </c>
      <c r="K21" s="146" t="s">
        <v>308</v>
      </c>
      <c r="L21" s="108" t="str">
        <f>IF(J21="N",ChkList!G6,"")</f>
        <v/>
      </c>
      <c r="M21" s="105">
        <f>IF($J21="N/A",0,VLOOKUP($I21,ChkList!$A$47:$B$49,2,FALSE))*1</f>
        <v>3</v>
      </c>
      <c r="N21" s="106">
        <f>IFERROR(VLOOKUP($I21,ChkList!$A$47:$B$49,2,FALSE)*VLOOKUP($J21,ChkList!$A$52:$B$54,2,FALSE),0)</f>
        <v>3</v>
      </c>
    </row>
    <row r="22" spans="1:14" ht="145.19999999999999">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Y</v>
      </c>
      <c r="K22" s="146" t="s">
        <v>402</v>
      </c>
      <c r="L22" s="108" t="str">
        <f>IF(J22="N",ChkList!G7,"")</f>
        <v/>
      </c>
      <c r="M22" s="105">
        <f>IF($J22="N/A",0,VLOOKUP($I22,ChkList!$A$47:$B$49,2,FALSE))*1</f>
        <v>3</v>
      </c>
      <c r="N22" s="106">
        <f>IFERROR(VLOOKUP($I22,ChkList!$A$47:$B$49,2,FALSE)*VLOOKUP($J22,ChkList!$A$52:$B$54,2,FALSE),0)</f>
        <v>3</v>
      </c>
    </row>
    <row r="23" spans="1:14" ht="172.8">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Y</v>
      </c>
      <c r="K23" s="146" t="s">
        <v>363</v>
      </c>
      <c r="L23" s="108" t="str">
        <f>IF(J23="N",ChkList!G8,"")</f>
        <v/>
      </c>
      <c r="M23" s="105">
        <f>IF($J23="N/A",0,VLOOKUP($I23,ChkList!$A$47:$B$49,2,FALSE))*1</f>
        <v>3</v>
      </c>
      <c r="N23" s="106">
        <f>IFERROR(VLOOKUP($I23,ChkList!$A$47:$B$49,2,FALSE)*VLOOKUP($J23,ChkList!$A$52:$B$54,2,FALSE),0)</f>
        <v>3</v>
      </c>
    </row>
    <row r="24" spans="1:14" ht="134.4">
      <c r="A24" s="107"/>
      <c r="B24" s="140" t="s">
        <v>96</v>
      </c>
      <c r="C24" s="106" t="str">
        <f>ChkList!$B9</f>
        <v>U-04</v>
      </c>
      <c r="D24" s="182" t="str">
        <f>ChkList!$C9</f>
        <v>패스워드 최대 사용 기간 설정</v>
      </c>
      <c r="E24" s="182"/>
      <c r="F24" s="182"/>
      <c r="G24" s="182"/>
      <c r="H24" s="182"/>
      <c r="I24" s="106" t="str">
        <f>ChkList!$D9</f>
        <v>M</v>
      </c>
      <c r="J24" s="129" t="str">
        <f t="shared" si="0"/>
        <v>Y</v>
      </c>
      <c r="K24" s="146" t="s">
        <v>311</v>
      </c>
      <c r="L24" s="108" t="str">
        <f>IF(J24="N",ChkList!G9,"")</f>
        <v/>
      </c>
      <c r="M24" s="105">
        <f>IF($J24="N/A",0,VLOOKUP($I24,ChkList!$A$47:$B$49,2,FALSE))*1</f>
        <v>2</v>
      </c>
      <c r="N24" s="106">
        <f>IFERROR(VLOOKUP($I24,ChkList!$A$47:$B$49,2,FALSE)*VLOOKUP($J24,ChkList!$A$52:$B$54,2,FALSE),0)</f>
        <v>2</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6" t="s">
        <v>364</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9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6" t="s">
        <v>365</v>
      </c>
      <c r="L27" s="108" t="str">
        <f>IF(J27="N",ChkList!G12,"")</f>
        <v/>
      </c>
      <c r="M27" s="105">
        <f>IF($J27="N/A",0,VLOOKUP($I27,ChkList!$A$47:$B$49,2,FALSE))*1</f>
        <v>3</v>
      </c>
      <c r="N27" s="106">
        <f>IFERROR(VLOOKUP($I27,ChkList!$A$47:$B$49,2,FALSE)*VLOOKUP($J27,ChkList!$A$52:$B$54,2,FALSE),0)</f>
        <v>3</v>
      </c>
    </row>
    <row r="28" spans="1:14" ht="96">
      <c r="A28" s="107"/>
      <c r="B28" s="140" t="s">
        <v>98</v>
      </c>
      <c r="C28" s="106" t="str">
        <f>ChkList!$B13</f>
        <v>U-07</v>
      </c>
      <c r="D28" s="182" t="str">
        <f>ChkList!$C13</f>
        <v>파일 및 디렉터리 소유자 설정</v>
      </c>
      <c r="E28" s="182"/>
      <c r="F28" s="182"/>
      <c r="G28" s="182"/>
      <c r="H28" s="182"/>
      <c r="I28" s="106" t="str">
        <f>ChkList!$D13</f>
        <v>H</v>
      </c>
      <c r="J28" s="129" t="str">
        <f t="shared" si="0"/>
        <v>Y</v>
      </c>
      <c r="K28" s="146" t="s">
        <v>314</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6" t="s">
        <v>366</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6" t="s">
        <v>367</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6" t="s">
        <v>368</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5" t="s">
        <v>241</v>
      </c>
      <c r="L32" s="108" t="str">
        <f>IF(J32="N",ChkList!G17,"")</f>
        <v/>
      </c>
      <c r="M32" s="105">
        <f>IF($J32="N/A",0,VLOOKUP($I32,ChkList!$A$47:$B$49,2,FALSE))*1</f>
        <v>3</v>
      </c>
      <c r="N32" s="106">
        <f>IFERROR(VLOOKUP($I32,ChkList!$A$47:$B$49,2,FALSE)*VLOOKUP($J32,ChkList!$A$52:$B$54,2,FALSE),0)</f>
        <v>3</v>
      </c>
    </row>
    <row r="33" spans="1:14" ht="86.4">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6" t="s">
        <v>369</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6" t="s">
        <v>370</v>
      </c>
      <c r="L34" s="108" t="str">
        <f>IF(J34="N",ChkList!G19,"")</f>
        <v/>
      </c>
      <c r="M34" s="105">
        <f>IF($J34="N/A",0,VLOOKUP($I34,ChkList!$A$47:$B$49,2,FALSE))*1</f>
        <v>3</v>
      </c>
      <c r="N34" s="106">
        <f>IFERROR(VLOOKUP($I34,ChkList!$A$47:$B$49,2,FALSE)*VLOOKUP($J34,ChkList!$A$52:$B$54,2,FALSE),0)</f>
        <v>3</v>
      </c>
    </row>
    <row r="35" spans="1:14" ht="96">
      <c r="A35" s="107"/>
      <c r="B35" s="140" t="s">
        <v>105</v>
      </c>
      <c r="C35" s="106" t="str">
        <f>ChkList!$B20</f>
        <v>U-14</v>
      </c>
      <c r="D35" s="182" t="str">
        <f>ChkList!$C20</f>
        <v>SUID, SGID, Sticky bit 설정 파일 점검</v>
      </c>
      <c r="E35" s="182"/>
      <c r="F35" s="182"/>
      <c r="G35" s="182"/>
      <c r="H35" s="182"/>
      <c r="I35" s="106" t="str">
        <f>ChkList!$D20</f>
        <v>H</v>
      </c>
      <c r="J35" s="129" t="str">
        <f t="shared" si="0"/>
        <v>Y</v>
      </c>
      <c r="K35" s="146" t="s">
        <v>320</v>
      </c>
      <c r="L35" s="108" t="str">
        <f>IF(J35="N",ChkList!G20,"")</f>
        <v/>
      </c>
      <c r="M35" s="105">
        <f>IF($J35="N/A",0,VLOOKUP($I35,ChkList!$A$47:$B$49,2,FALSE))*1</f>
        <v>3</v>
      </c>
      <c r="N35" s="106">
        <f>IFERROR(VLOOKUP($I35,ChkList!$A$47:$B$49,2,FALSE)*VLOOKUP($J35,ChkList!$A$52:$B$54,2,FALSE),0)</f>
        <v>3</v>
      </c>
    </row>
    <row r="36" spans="1:14" ht="355.2">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6" t="s">
        <v>371</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6" t="s">
        <v>322</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72.8">
      <c r="A39" s="107"/>
      <c r="B39" s="140" t="s">
        <v>109</v>
      </c>
      <c r="C39" s="106" t="str">
        <f>ChkList!$B24</f>
        <v>U-18</v>
      </c>
      <c r="D39" s="182" t="str">
        <f>ChkList!$C24</f>
        <v>접속 IP 및 포트 제한</v>
      </c>
      <c r="E39" s="182"/>
      <c r="F39" s="182"/>
      <c r="G39" s="182"/>
      <c r="H39" s="182"/>
      <c r="I39" s="106" t="str">
        <f>ChkList!$D24</f>
        <v>H</v>
      </c>
      <c r="J39" s="129" t="str">
        <f t="shared" si="0"/>
        <v>N</v>
      </c>
      <c r="K39" s="146" t="s">
        <v>372</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24.8">
      <c r="A40" s="107"/>
      <c r="B40" s="140" t="s">
        <v>166</v>
      </c>
      <c r="C40" s="106" t="str">
        <f>ChkList!$B25</f>
        <v>U-19</v>
      </c>
      <c r="D40" s="182" t="str">
        <f>ChkList!$C25</f>
        <v>cron 파일 소유자 및 권한 설정</v>
      </c>
      <c r="E40" s="182"/>
      <c r="F40" s="182"/>
      <c r="G40" s="182"/>
      <c r="H40" s="182"/>
      <c r="I40" s="106" t="str">
        <f>ChkList!$D25</f>
        <v>H</v>
      </c>
      <c r="J40" s="129" t="str">
        <f t="shared" si="0"/>
        <v>Y</v>
      </c>
      <c r="K40" s="146" t="s">
        <v>373</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259.2">
      <c r="A43" s="107"/>
      <c r="B43" s="140" t="s">
        <v>111</v>
      </c>
      <c r="C43" s="106" t="str">
        <f>ChkList!$B28</f>
        <v>U-21</v>
      </c>
      <c r="D43" s="182" t="str">
        <f>ChkList!$C28</f>
        <v>Anonymous FTP 비활성화</v>
      </c>
      <c r="E43" s="182"/>
      <c r="F43" s="182"/>
      <c r="G43" s="182"/>
      <c r="H43" s="182"/>
      <c r="I43" s="106" t="str">
        <f>ChkList!$D28</f>
        <v>H</v>
      </c>
      <c r="J43" s="129" t="str">
        <f t="shared" si="0"/>
        <v>N</v>
      </c>
      <c r="K43" s="149" t="s">
        <v>374</v>
      </c>
      <c r="L43" s="108" t="str">
        <f>IF(J43="N",ChkList!G28,"")</f>
        <v xml:space="preserve">[Default FTP를 사용하는 경우]
1. ftp 계정 삭제
# userdel ftp  //Linux, HP-UX, Solaris에서 ftp 계정 삭제
# rmuser ftp  //AIX에서 ftp 계정 삭제
[proftpd 를 사용하는 경우]
1. proftpd.conf 파일에서 &lt;Anonymous ~ ftp&gt; 부분의 UserAlias 항목 주석("#") 처리
# cat etc/proftpd/proftpd.conf
#UserAlias           anonymous ftp
[vsftpd 를 사용하는 경우]
1. vsftpd.conf 파일에서 anonymous_enable 값을 No 로 설정
# vi etc/vsftpd/vsftpd.conf
anonymous_enalble = No
</v>
      </c>
      <c r="M43" s="105">
        <f>IF($J43="N/A",0,VLOOKUP($I43,ChkList!$A$47:$B$49,2,FALSE))*1</f>
        <v>3</v>
      </c>
      <c r="N43" s="106">
        <f>IFERROR(VLOOKUP($I43,ChkList!$A$47:$B$49,2,FALSE)*VLOOKUP($J43,ChkList!$A$52:$B$54,2,FALSE),0)</f>
        <v>0</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326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327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251</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16.8">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6" t="s">
        <v>375</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47" priority="2" stopIfTrue="1" operator="equal">
      <formula>"N/A"</formula>
    </cfRule>
    <cfRule type="cellIs" dxfId="46" priority="3" stopIfTrue="1" operator="equal">
      <formula>"N"</formula>
    </cfRule>
  </conditionalFormatting>
  <conditionalFormatting sqref="J21:J59">
    <cfRule type="containsText" dxfId="45"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967802F8-FA26-410F-95BD-BD15266B83F5}">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DE60-F424-40DA-8020-F45FE3403E55}">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U_004</v>
      </c>
      <c r="F4" s="203"/>
      <c r="G4" s="189" t="s">
        <v>222</v>
      </c>
      <c r="H4" s="189"/>
      <c r="I4" s="192" t="str">
        <f ca="1">IFERROR(VLOOKUP($E$4,자산목록!$A$1:$I$844,2,FALSE),"N/A")</f>
        <v>idt-gov-pool3-w-155j</v>
      </c>
      <c r="J4" s="192"/>
      <c r="K4" s="78"/>
      <c r="L4" s="73"/>
      <c r="M4" s="79"/>
      <c r="N4" s="79"/>
    </row>
    <row r="5" spans="1:14" ht="13.5" customHeight="1">
      <c r="A5" s="189" t="s">
        <v>223</v>
      </c>
      <c r="B5" s="189"/>
      <c r="C5" s="189"/>
      <c r="D5" s="189"/>
      <c r="E5" s="190" t="str">
        <f ca="1">IFERROR(VLOOKUP($E$4,자산목록!$A$1:$I$851,4,FALSE),"N/A") &amp; " " &amp; IFERROR(VLOOKUP($E$4,자산목록!$A$1:$I$851,5,FALSE),"N/A")</f>
        <v>Ubuntu 20.04</v>
      </c>
      <c r="F5" s="191"/>
      <c r="G5" s="189" t="s">
        <v>224</v>
      </c>
      <c r="H5" s="189"/>
      <c r="I5" s="192" t="str">
        <f ca="1">IFERROR(VLOOKUP($E$4,자산목록!$A$1:$I$844,3,FALSE),"N/A")</f>
        <v>10.0.3.11</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3</v>
      </c>
      <c r="H12" s="89">
        <f ca="1">SUMIF($B$21:INDIRECT(ADDRESS(MATCH("",$B:$B,-1),2,1,1)),$A12&amp;"*",$M$21:INDIRECT(ADDRESS(MATCH("",$B:$B,-1),13,1,1)))</f>
        <v>14</v>
      </c>
      <c r="I12" s="89">
        <f ca="1">SUMIF($B$21:INDIRECT(ADDRESS(MATCH("",$B:$B,-1),2,1,1)),$A12&amp;"*",$N$21:INDIRECT(ADDRESS(MATCH("",$B:$B,-1),14,1,1)))</f>
        <v>9</v>
      </c>
      <c r="J12" s="90">
        <f ca="1">IF(F12=0, "N/A", (I12/H12))</f>
        <v>0.6428571428571429</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30</v>
      </c>
      <c r="H16" s="95">
        <f ca="1">SUM(H12:H15)</f>
        <v>107</v>
      </c>
      <c r="I16" s="95">
        <f ca="1">SUM(I12:I15)</f>
        <v>90</v>
      </c>
      <c r="J16" s="96">
        <f ca="1">IF(H16=0,"N/A",I16/H16)</f>
        <v>0.84112149532710279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115.2">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Y</v>
      </c>
      <c r="K21" s="150" t="s">
        <v>336</v>
      </c>
      <c r="L21" s="108" t="str">
        <f>IF(J21="N",ChkList!G6,"")</f>
        <v/>
      </c>
      <c r="M21" s="105">
        <f>IF($J21="N/A",0,VLOOKUP($I21,ChkList!$A$47:$B$49,2,FALSE))*1</f>
        <v>3</v>
      </c>
      <c r="N21" s="106">
        <f>IFERROR(VLOOKUP($I21,ChkList!$A$47:$B$49,2,FALSE)*VLOOKUP($J21,ChkList!$A$52:$B$54,2,FALSE),0)</f>
        <v>3</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337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96">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Y</v>
      </c>
      <c r="K23" s="149" t="s">
        <v>338</v>
      </c>
      <c r="L23" s="108" t="str">
        <f>IF(J23="N",ChkList!G8,"")</f>
        <v/>
      </c>
      <c r="M23" s="105">
        <f>IF($J23="N/A",0,VLOOKUP($I23,ChkList!$A$47:$B$49,2,FALSE))*1</f>
        <v>3</v>
      </c>
      <c r="N23" s="106">
        <f>IFERROR(VLOOKUP($I23,ChkList!$A$47:$B$49,2,FALSE)*VLOOKUP($J23,ChkList!$A$52:$B$54,2,FALSE),0)</f>
        <v>3</v>
      </c>
    </row>
    <row r="24" spans="1:14" ht="134.4">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339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350</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67.2">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351</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352</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353</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354</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86.4">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341</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96">
      <c r="A35" s="107"/>
      <c r="B35" s="140" t="s">
        <v>105</v>
      </c>
      <c r="C35" s="106" t="str">
        <f>ChkList!$B20</f>
        <v>U-14</v>
      </c>
      <c r="D35" s="182" t="str">
        <f>ChkList!$C20</f>
        <v>SUID, SGID, Sticky bit 설정 파일 점검</v>
      </c>
      <c r="E35" s="182"/>
      <c r="F35" s="182"/>
      <c r="G35" s="182"/>
      <c r="H35" s="182"/>
      <c r="I35" s="106" t="str">
        <f>ChkList!$D20</f>
        <v>H</v>
      </c>
      <c r="J35" s="129" t="str">
        <f t="shared" si="0"/>
        <v>Y</v>
      </c>
      <c r="K35" s="149" t="s">
        <v>343</v>
      </c>
      <c r="L35" s="108" t="str">
        <f>IF(J35="N",ChkList!G20,"")</f>
        <v/>
      </c>
      <c r="M35" s="105">
        <f>IF($J35="N/A",0,VLOOKUP($I35,ChkList!$A$47:$B$49,2,FALSE))*1</f>
        <v>3</v>
      </c>
      <c r="N35" s="106">
        <f>IFERROR(VLOOKUP($I35,ChkList!$A$47:$B$49,2,FALSE)*VLOOKUP($J35,ChkList!$A$52:$B$54,2,FALSE),0)</f>
        <v>3</v>
      </c>
    </row>
    <row r="36" spans="1:14" ht="220.8">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355</v>
      </c>
      <c r="L36" s="108" t="str">
        <f>IF(J36="N",ChkList!G21,"")</f>
        <v/>
      </c>
      <c r="M36" s="105">
        <f>IF($J36="N/A",0,VLOOKUP($I36,ChkList!$A$47:$B$49,2,FALSE))*1</f>
        <v>3</v>
      </c>
      <c r="N36" s="106">
        <f>IFERROR(VLOOKUP($I36,ChkList!$A$47:$B$49,2,FALSE)*VLOOKUP($J36,ChkList!$A$52:$B$54,2,FALSE),0)</f>
        <v>3</v>
      </c>
    </row>
    <row r="37" spans="1:14" ht="57.6">
      <c r="A37" s="107"/>
      <c r="B37" s="140" t="s">
        <v>107</v>
      </c>
      <c r="C37" s="106" t="str">
        <f>ChkList!$B22</f>
        <v>U-16</v>
      </c>
      <c r="D37" s="182" t="str">
        <f>ChkList!$C22</f>
        <v>world writable 파일 점검</v>
      </c>
      <c r="E37" s="182"/>
      <c r="F37" s="182"/>
      <c r="G37" s="182"/>
      <c r="H37" s="182"/>
      <c r="I37" s="106" t="str">
        <f>ChkList!$D22</f>
        <v>H</v>
      </c>
      <c r="J37" s="129" t="str">
        <f t="shared" si="0"/>
        <v>N</v>
      </c>
      <c r="K37" s="149" t="s">
        <v>356</v>
      </c>
      <c r="L37" s="108" t="str">
        <f>IF(J37="N",ChkList!G22,"")</f>
        <v>1. 검색된 파일 중 불필요한 파일 제거 및 권한 변경
  #chmod o-w &lt;file_name&gt;
  #rm –rf &lt;world-writable 파일명&gt;</v>
      </c>
      <c r="M37" s="105">
        <f>IF($J37="N/A",0,VLOOKUP($I37,ChkList!$A$47:$B$49,2,FALSE))*1</f>
        <v>3</v>
      </c>
      <c r="N37" s="106">
        <f>IFERROR(VLOOKUP($I37,ChkList!$A$47:$B$49,2,FALSE)*VLOOKUP($J37,ChkList!$A$52:$B$54,2,FALSE),0)</f>
        <v>0</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349</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44" priority="2" stopIfTrue="1" operator="equal">
      <formula>"N/A"</formula>
    </cfRule>
    <cfRule type="cellIs" dxfId="43" priority="3" stopIfTrue="1" operator="equal">
      <formula>"N"</formula>
    </cfRule>
  </conditionalFormatting>
  <conditionalFormatting sqref="J21:J59">
    <cfRule type="containsText" dxfId="42"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1DC73C0C-4FD7-4626-828B-F522FB62AE68}">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0A1E-AAA3-490C-A1E2-DD5D7CD5A8D3}">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U_005</v>
      </c>
      <c r="F4" s="203"/>
      <c r="G4" s="189" t="s">
        <v>222</v>
      </c>
      <c r="H4" s="189"/>
      <c r="I4" s="192" t="str">
        <f ca="1">IFERROR(VLOOKUP($E$4,자산목록!$A$1:$I$844,2,FALSE),"N/A")</f>
        <v>idt-gov-pool4-w-158h</v>
      </c>
      <c r="J4" s="192"/>
      <c r="K4" s="78"/>
      <c r="L4" s="73"/>
      <c r="M4" s="79"/>
      <c r="N4" s="79"/>
    </row>
    <row r="5" spans="1:14" ht="13.5" customHeight="1">
      <c r="A5" s="189" t="s">
        <v>223</v>
      </c>
      <c r="B5" s="189"/>
      <c r="C5" s="189"/>
      <c r="D5" s="189"/>
      <c r="E5" s="190" t="str">
        <f ca="1">IFERROR(VLOOKUP($E$4,자산목록!$A$1:$I$851,4,FALSE),"N/A") &amp; " " &amp; IFERROR(VLOOKUP($E$4,자산목록!$A$1:$I$851,5,FALSE),"N/A")</f>
        <v>Ubuntu 20.04</v>
      </c>
      <c r="F5" s="191"/>
      <c r="G5" s="189" t="s">
        <v>224</v>
      </c>
      <c r="H5" s="189"/>
      <c r="I5" s="192" t="str">
        <f ca="1">IFERROR(VLOOKUP($E$4,자산목록!$A$1:$I$844,3,FALSE),"N/A")</f>
        <v>10.0.3.12</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3</v>
      </c>
      <c r="H12" s="89">
        <f ca="1">SUMIF($B$21:INDIRECT(ADDRESS(MATCH("",$B:$B,-1),2,1,1)),$A12&amp;"*",$M$21:INDIRECT(ADDRESS(MATCH("",$B:$B,-1),13,1,1)))</f>
        <v>14</v>
      </c>
      <c r="I12" s="89">
        <f ca="1">SUMIF($B$21:INDIRECT(ADDRESS(MATCH("",$B:$B,-1),2,1,1)),$A12&amp;"*",$N$21:INDIRECT(ADDRESS(MATCH("",$B:$B,-1),14,1,1)))</f>
        <v>9</v>
      </c>
      <c r="J12" s="90">
        <f ca="1">IF(F12=0, "N/A", (I12/H12))</f>
        <v>0.6428571428571429</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30</v>
      </c>
      <c r="H16" s="95">
        <f ca="1">SUM(H12:H15)</f>
        <v>107</v>
      </c>
      <c r="I16" s="95">
        <f ca="1">SUM(I12:I15)</f>
        <v>90</v>
      </c>
      <c r="J16" s="96">
        <f ca="1">IF(H16=0,"N/A",I16/H16)</f>
        <v>0.84112149532710279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115.2">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Y</v>
      </c>
      <c r="K21" s="150" t="s">
        <v>336</v>
      </c>
      <c r="L21" s="108" t="str">
        <f>IF(J21="N",ChkList!G6,"")</f>
        <v/>
      </c>
      <c r="M21" s="105">
        <f>IF($J21="N/A",0,VLOOKUP($I21,ChkList!$A$47:$B$49,2,FALSE))*1</f>
        <v>3</v>
      </c>
      <c r="N21" s="106">
        <f>IFERROR(VLOOKUP($I21,ChkList!$A$47:$B$49,2,FALSE)*VLOOKUP($J21,ChkList!$A$52:$B$54,2,FALSE),0)</f>
        <v>3</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337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96">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Y</v>
      </c>
      <c r="K23" s="149" t="s">
        <v>338</v>
      </c>
      <c r="L23" s="108" t="str">
        <f>IF(J23="N",ChkList!G8,"")</f>
        <v/>
      </c>
      <c r="M23" s="105">
        <f>IF($J23="N/A",0,VLOOKUP($I23,ChkList!$A$47:$B$49,2,FALSE))*1</f>
        <v>3</v>
      </c>
      <c r="N23" s="106">
        <f>IFERROR(VLOOKUP($I23,ChkList!$A$47:$B$49,2,FALSE)*VLOOKUP($J23,ChkList!$A$52:$B$54,2,FALSE),0)</f>
        <v>3</v>
      </c>
    </row>
    <row r="24" spans="1:14" ht="134.4">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339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358</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67.2">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351</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359</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360</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361</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86.4">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341</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96">
      <c r="A35" s="107"/>
      <c r="B35" s="140" t="s">
        <v>105</v>
      </c>
      <c r="C35" s="106" t="str">
        <f>ChkList!$B20</f>
        <v>U-14</v>
      </c>
      <c r="D35" s="182" t="str">
        <f>ChkList!$C20</f>
        <v>SUID, SGID, Sticky bit 설정 파일 점검</v>
      </c>
      <c r="E35" s="182"/>
      <c r="F35" s="182"/>
      <c r="G35" s="182"/>
      <c r="H35" s="182"/>
      <c r="I35" s="106" t="str">
        <f>ChkList!$D20</f>
        <v>H</v>
      </c>
      <c r="J35" s="129" t="str">
        <f t="shared" si="0"/>
        <v>Y</v>
      </c>
      <c r="K35" s="149" t="s">
        <v>343</v>
      </c>
      <c r="L35" s="108" t="str">
        <f>IF(J35="N",ChkList!G20,"")</f>
        <v/>
      </c>
      <c r="M35" s="105">
        <f>IF($J35="N/A",0,VLOOKUP($I35,ChkList!$A$47:$B$49,2,FALSE))*1</f>
        <v>3</v>
      </c>
      <c r="N35" s="106">
        <f>IFERROR(VLOOKUP($I35,ChkList!$A$47:$B$49,2,FALSE)*VLOOKUP($J35,ChkList!$A$52:$B$54,2,FALSE),0)</f>
        <v>3</v>
      </c>
    </row>
    <row r="36" spans="1:14" ht="220.8">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362</v>
      </c>
      <c r="L36" s="108" t="str">
        <f>IF(J36="N",ChkList!G21,"")</f>
        <v/>
      </c>
      <c r="M36" s="105">
        <f>IF($J36="N/A",0,VLOOKUP($I36,ChkList!$A$47:$B$49,2,FALSE))*1</f>
        <v>3</v>
      </c>
      <c r="N36" s="106">
        <f>IFERROR(VLOOKUP($I36,ChkList!$A$47:$B$49,2,FALSE)*VLOOKUP($J36,ChkList!$A$52:$B$54,2,FALSE),0)</f>
        <v>3</v>
      </c>
    </row>
    <row r="37" spans="1:14" ht="57.6">
      <c r="A37" s="107"/>
      <c r="B37" s="140" t="s">
        <v>107</v>
      </c>
      <c r="C37" s="106" t="str">
        <f>ChkList!$B22</f>
        <v>U-16</v>
      </c>
      <c r="D37" s="182" t="str">
        <f>ChkList!$C22</f>
        <v>world writable 파일 점검</v>
      </c>
      <c r="E37" s="182"/>
      <c r="F37" s="182"/>
      <c r="G37" s="182"/>
      <c r="H37" s="182"/>
      <c r="I37" s="106" t="str">
        <f>ChkList!$D22</f>
        <v>H</v>
      </c>
      <c r="J37" s="129" t="str">
        <f t="shared" si="0"/>
        <v>N</v>
      </c>
      <c r="K37" s="149" t="s">
        <v>356</v>
      </c>
      <c r="L37" s="108" t="str">
        <f>IF(J37="N",ChkList!G22,"")</f>
        <v>1. 검색된 파일 중 불필요한 파일 제거 및 권한 변경
  #chmod o-w &lt;file_name&gt;
  #rm –rf &lt;world-writable 파일명&gt;</v>
      </c>
      <c r="M37" s="105">
        <f>IF($J37="N/A",0,VLOOKUP($I37,ChkList!$A$47:$B$49,2,FALSE))*1</f>
        <v>3</v>
      </c>
      <c r="N37" s="106">
        <f>IFERROR(VLOOKUP($I37,ChkList!$A$47:$B$49,2,FALSE)*VLOOKUP($J37,ChkList!$A$52:$B$54,2,FALSE),0)</f>
        <v>0</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349</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41" priority="2" stopIfTrue="1" operator="equal">
      <formula>"N/A"</formula>
    </cfRule>
    <cfRule type="cellIs" dxfId="40" priority="3" stopIfTrue="1" operator="equal">
      <formula>"N"</formula>
    </cfRule>
  </conditionalFormatting>
  <conditionalFormatting sqref="J21:J59">
    <cfRule type="containsText" dxfId="39"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A1002DF3-C3A1-4795-B3B4-38F2694A71C1}">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B2DF-7E65-4767-B63F-2045956C0240}">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U_006</v>
      </c>
      <c r="F4" s="203"/>
      <c r="G4" s="189" t="s">
        <v>222</v>
      </c>
      <c r="H4" s="189"/>
      <c r="I4" s="192" t="str">
        <f ca="1">IFERROR(VLOOKUP($E$4,자산목록!$A$1:$I$844,2,FALSE),"N/A")</f>
        <v>pcespg-web-admin-55845bc69b-nxztw</v>
      </c>
      <c r="J4" s="192"/>
      <c r="K4" s="78"/>
      <c r="L4" s="73"/>
      <c r="M4" s="79"/>
      <c r="N4" s="79"/>
    </row>
    <row r="5" spans="1:14" ht="13.5" customHeight="1">
      <c r="A5" s="189" t="s">
        <v>223</v>
      </c>
      <c r="B5" s="189"/>
      <c r="C5" s="189"/>
      <c r="D5" s="189"/>
      <c r="E5" s="190" t="str">
        <f ca="1">IFERROR(VLOOKUP($E$4,자산목록!$A$1:$I$851,4,FALSE),"N/A") &amp; " " &amp; IFERROR(VLOOKUP($E$4,자산목록!$A$1:$I$851,5,FALSE),"N/A")</f>
        <v>Debian GNU/Linux 12</v>
      </c>
      <c r="F5" s="191"/>
      <c r="G5" s="189" t="s">
        <v>224</v>
      </c>
      <c r="H5" s="189"/>
      <c r="I5" s="192" t="str">
        <f ca="1">IFERROR(VLOOKUP($E$4,자산목록!$A$1:$I$844,3,FALSE),"N/A")</f>
        <v>198.19.245.47</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380</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381</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382</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383</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384</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386</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396</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240">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388</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38" priority="2" stopIfTrue="1" operator="equal">
      <formula>"N/A"</formula>
    </cfRule>
    <cfRule type="cellIs" dxfId="37" priority="3" stopIfTrue="1" operator="equal">
      <formula>"N"</formula>
    </cfRule>
  </conditionalFormatting>
  <conditionalFormatting sqref="J21:J59">
    <cfRule type="containsText" dxfId="36"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92B1BDEB-5C08-4066-B310-08F71418D144}">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699F-31D2-433B-AD09-632FBB665849}">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U_007</v>
      </c>
      <c r="F4" s="203"/>
      <c r="G4" s="189" t="s">
        <v>222</v>
      </c>
      <c r="H4" s="189"/>
      <c r="I4" s="192" t="str">
        <f ca="1">IFERROR(VLOOKUP($E$4,자산목록!$A$1:$I$844,2,FALSE),"N/A")</f>
        <v>pcespg-web-admin-55845bc69b-p86mk</v>
      </c>
      <c r="J4" s="192"/>
      <c r="K4" s="78"/>
      <c r="L4" s="73"/>
      <c r="M4" s="79"/>
      <c r="N4" s="79"/>
    </row>
    <row r="5" spans="1:14" ht="13.5" customHeight="1">
      <c r="A5" s="189" t="s">
        <v>223</v>
      </c>
      <c r="B5" s="189"/>
      <c r="C5" s="189"/>
      <c r="D5" s="189"/>
      <c r="E5" s="190" t="str">
        <f ca="1">IFERROR(VLOOKUP($E$4,자산목록!$A$1:$I$851,4,FALSE),"N/A") &amp; " " &amp; IFERROR(VLOOKUP($E$4,자산목록!$A$1:$I$851,5,FALSE),"N/A")</f>
        <v>Debian GNU/Linux 12</v>
      </c>
      <c r="F5" s="191"/>
      <c r="G5" s="189" t="s">
        <v>224</v>
      </c>
      <c r="H5" s="189"/>
      <c r="I5" s="192" t="str">
        <f ca="1">IFERROR(VLOOKUP($E$4,자산목록!$A$1:$I$844,3,FALSE),"N/A")</f>
        <v>198.19.245.47</v>
      </c>
      <c r="J5" s="192"/>
      <c r="K5" s="78"/>
      <c r="L5" s="73"/>
      <c r="M5" s="79"/>
      <c r="N5" s="79"/>
    </row>
    <row r="6" spans="1:14" ht="13.5" customHeight="1">
      <c r="A6" s="189" t="s">
        <v>225</v>
      </c>
      <c r="B6" s="189"/>
      <c r="C6" s="189"/>
      <c r="D6" s="189"/>
      <c r="E6" s="190">
        <f ca="1">IFERROR(VLOOKUP($E$4,자산목록!$A$1:$I$844,6,FALSE),"N/A")</f>
        <v>0</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380</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381</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382</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383</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384</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386</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396</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240">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388</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35" priority="2" stopIfTrue="1" operator="equal">
      <formula>"N/A"</formula>
    </cfRule>
    <cfRule type="cellIs" dxfId="34" priority="3" stopIfTrue="1" operator="equal">
      <formula>"N"</formula>
    </cfRule>
  </conditionalFormatting>
  <conditionalFormatting sqref="J21:J59">
    <cfRule type="containsText" dxfId="33"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37A07B61-D185-4CC6-B178-F74B889CAEDF}">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DAA6-0B85-45F8-92B5-BC7D7C5DC416}">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U_008</v>
      </c>
      <c r="F4" s="203"/>
      <c r="G4" s="189" t="s">
        <v>222</v>
      </c>
      <c r="H4" s="189"/>
      <c r="I4" s="192" t="str">
        <f ca="1">IFERROR(VLOOKUP($E$4,자산목록!$A$1:$I$844,2,FALSE),"N/A")</f>
        <v>pcespg-web-5674f488d5-nq9w5</v>
      </c>
      <c r="J4" s="192"/>
      <c r="K4" s="78"/>
      <c r="L4" s="73"/>
      <c r="M4" s="79"/>
      <c r="N4" s="79"/>
    </row>
    <row r="5" spans="1:14" ht="13.5" customHeight="1">
      <c r="A5" s="189" t="s">
        <v>223</v>
      </c>
      <c r="B5" s="189"/>
      <c r="C5" s="189"/>
      <c r="D5" s="189"/>
      <c r="E5" s="190" t="str">
        <f ca="1">IFERROR(VLOOKUP($E$4,자산목록!$A$1:$I$851,4,FALSE),"N/A") &amp; " " &amp; IFERROR(VLOOKUP($E$4,자산목록!$A$1:$I$851,5,FALSE),"N/A")</f>
        <v>Debian GNU/Linux 12</v>
      </c>
      <c r="F5" s="191"/>
      <c r="G5" s="189" t="s">
        <v>224</v>
      </c>
      <c r="H5" s="189"/>
      <c r="I5" s="192" t="str">
        <f ca="1">IFERROR(VLOOKUP($E$4,자산목록!$A$1:$I$844,3,FALSE),"N/A")</f>
        <v>198.19.155.127</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380</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381</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382</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383</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384</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386</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396</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240">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388</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32" priority="2" stopIfTrue="1" operator="equal">
      <formula>"N/A"</formula>
    </cfRule>
    <cfRule type="cellIs" dxfId="31" priority="3" stopIfTrue="1" operator="equal">
      <formula>"N"</formula>
    </cfRule>
  </conditionalFormatting>
  <conditionalFormatting sqref="J21:J59">
    <cfRule type="containsText" dxfId="30"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697AB52A-59DA-4E3B-9A46-BA86B647007F}">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6E87-4BB0-424D-8A20-1673BECF50A4}">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U_009</v>
      </c>
      <c r="F4" s="203"/>
      <c r="G4" s="189" t="s">
        <v>222</v>
      </c>
      <c r="H4" s="189"/>
      <c r="I4" s="192" t="str">
        <f ca="1">IFERROR(VLOOKUP($E$4,자산목록!$A$1:$I$844,2,FALSE),"N/A")</f>
        <v>pcespg-web-5674f488d5-h7zzl</v>
      </c>
      <c r="J4" s="192"/>
      <c r="K4" s="78"/>
      <c r="L4" s="73"/>
      <c r="M4" s="79"/>
      <c r="N4" s="79"/>
    </row>
    <row r="5" spans="1:14" ht="13.5" customHeight="1">
      <c r="A5" s="189" t="s">
        <v>223</v>
      </c>
      <c r="B5" s="189"/>
      <c r="C5" s="189"/>
      <c r="D5" s="189"/>
      <c r="E5" s="190" t="str">
        <f ca="1">IFERROR(VLOOKUP($E$4,자산목록!$A$1:$I$851,4,FALSE),"N/A") &amp; " " &amp; IFERROR(VLOOKUP($E$4,자산목록!$A$1:$I$851,5,FALSE),"N/A")</f>
        <v>Debian GNU/Linux 12</v>
      </c>
      <c r="F5" s="191"/>
      <c r="G5" s="189" t="s">
        <v>224</v>
      </c>
      <c r="H5" s="189"/>
      <c r="I5" s="192" t="str">
        <f ca="1">IFERROR(VLOOKUP($E$4,자산목록!$A$1:$I$844,3,FALSE),"N/A")</f>
        <v>198.19.155.127</v>
      </c>
      <c r="J5" s="192"/>
      <c r="K5" s="78"/>
      <c r="L5" s="73"/>
      <c r="M5" s="79"/>
      <c r="N5" s="79"/>
    </row>
    <row r="6" spans="1:14" ht="13.5" customHeight="1">
      <c r="A6" s="189" t="s">
        <v>225</v>
      </c>
      <c r="B6" s="189"/>
      <c r="C6" s="189"/>
      <c r="D6" s="189"/>
      <c r="E6" s="190">
        <f ca="1">IFERROR(VLOOKUP($E$4,자산목록!$A$1:$I$844,6,FALSE),"N/A")</f>
        <v>0</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380</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381</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382</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383</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384</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386</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396</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240">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388</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29" priority="2" stopIfTrue="1" operator="equal">
      <formula>"N/A"</formula>
    </cfRule>
    <cfRule type="cellIs" dxfId="28" priority="3" stopIfTrue="1" operator="equal">
      <formula>"N"</formula>
    </cfRule>
  </conditionalFormatting>
  <conditionalFormatting sqref="J21:J59">
    <cfRule type="containsText" dxfId="27"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0FCEE305-2D78-4F49-B23A-8D4F7ECCC2A7}">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15CC-0455-434F-84E0-1AD4287C5D7B}">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U_010</v>
      </c>
      <c r="F4" s="203"/>
      <c r="G4" s="189" t="s">
        <v>222</v>
      </c>
      <c r="H4" s="189"/>
      <c r="I4" s="192" t="str">
        <f ca="1">IFERROR(VLOOKUP($E$4,자산목록!$A$1:$I$844,2,FALSE),"N/A")</f>
        <v>pcespg-api-admin-74df64559f-5wgfk</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198.19.150.60</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26" priority="2" stopIfTrue="1" operator="equal">
      <formula>"N/A"</formula>
    </cfRule>
    <cfRule type="cellIs" dxfId="25" priority="3" stopIfTrue="1" operator="equal">
      <formula>"N"</formula>
    </cfRule>
  </conditionalFormatting>
  <conditionalFormatting sqref="J21:J59">
    <cfRule type="containsText" dxfId="24"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9AA652FA-CCAD-4435-8EDF-A2192D8F6877}">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4E52-17C4-4550-8C7F-5704AFA40477}">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U_011</v>
      </c>
      <c r="F4" s="203"/>
      <c r="G4" s="189" t="s">
        <v>222</v>
      </c>
      <c r="H4" s="189"/>
      <c r="I4" s="192" t="str">
        <f ca="1">IFERROR(VLOOKUP($E$4,자산목록!$A$1:$I$844,2,FALSE),"N/A")</f>
        <v>pcespg-api-admin-74df64559f-rrwrl</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198.19.150.60</v>
      </c>
      <c r="J5" s="192"/>
      <c r="K5" s="78"/>
      <c r="L5" s="73"/>
      <c r="M5" s="79"/>
      <c r="N5" s="79"/>
    </row>
    <row r="6" spans="1:14" ht="13.5" customHeight="1">
      <c r="A6" s="189" t="s">
        <v>225</v>
      </c>
      <c r="B6" s="189"/>
      <c r="C6" s="189"/>
      <c r="D6" s="189"/>
      <c r="E6" s="190">
        <f ca="1">IFERROR(VLOOKUP($E$4,자산목록!$A$1:$I$844,6,FALSE),"N/A")</f>
        <v>0</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23" priority="2" stopIfTrue="1" operator="equal">
      <formula>"N/A"</formula>
    </cfRule>
    <cfRule type="cellIs" dxfId="22" priority="3" stopIfTrue="1" operator="equal">
      <formula>"N"</formula>
    </cfRule>
  </conditionalFormatting>
  <conditionalFormatting sqref="J21:J59">
    <cfRule type="containsText" dxfId="21"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9E435D45-F3F2-4034-95D3-377CE9C0BCC9}">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810A-5BA1-485B-A6B5-BF2D896537CA}">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U_012</v>
      </c>
      <c r="F4" s="203"/>
      <c r="G4" s="189" t="s">
        <v>222</v>
      </c>
      <c r="H4" s="189"/>
      <c r="I4" s="192" t="str">
        <f ca="1">IFERROR(VLOOKUP($E$4,자산목록!$A$1:$I$844,2,FALSE),"N/A")</f>
        <v>pcespg-api-biz-5749fc55dc-sj9mp</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198.19.237.2</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20" priority="2" stopIfTrue="1" operator="equal">
      <formula>"N/A"</formula>
    </cfRule>
    <cfRule type="cellIs" dxfId="19" priority="3" stopIfTrue="1" operator="equal">
      <formula>"N"</formula>
    </cfRule>
  </conditionalFormatting>
  <conditionalFormatting sqref="J21:J59">
    <cfRule type="containsText" dxfId="18"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4D7E9F02-0F47-49FD-B741-321726B34005}">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39EFC-20D0-408B-A0FE-2437E57504BC}">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U_013</v>
      </c>
      <c r="F4" s="203"/>
      <c r="G4" s="189" t="s">
        <v>222</v>
      </c>
      <c r="H4" s="189"/>
      <c r="I4" s="192" t="str">
        <f ca="1">IFERROR(VLOOKUP($E$4,자산목록!$A$1:$I$844,2,FALSE),"N/A")</f>
        <v>pcespg-api-biz-5749fc55dc-g956g</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198.19.237.2</v>
      </c>
      <c r="J5" s="192"/>
      <c r="K5" s="78"/>
      <c r="L5" s="73"/>
      <c r="M5" s="79"/>
      <c r="N5" s="79"/>
    </row>
    <row r="6" spans="1:14" ht="13.5" customHeight="1">
      <c r="A6" s="189" t="s">
        <v>225</v>
      </c>
      <c r="B6" s="189"/>
      <c r="C6" s="189"/>
      <c r="D6" s="189"/>
      <c r="E6" s="190">
        <f ca="1">IFERROR(VLOOKUP($E$4,자산목록!$A$1:$I$844,6,FALSE),"N/A")</f>
        <v>0</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17" priority="2" stopIfTrue="1" operator="equal">
      <formula>"N/A"</formula>
    </cfRule>
    <cfRule type="cellIs" dxfId="16" priority="3" stopIfTrue="1" operator="equal">
      <formula>"N"</formula>
    </cfRule>
  </conditionalFormatting>
  <conditionalFormatting sqref="J21:J59">
    <cfRule type="containsText" dxfId="15"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E688DA21-B3C0-4A55-9D36-99D15C07FBB3}">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5DFB2-CD04-4960-A59A-5E07E3F18FCF}">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U_014</v>
      </c>
      <c r="F4" s="203"/>
      <c r="G4" s="189" t="s">
        <v>222</v>
      </c>
      <c r="H4" s="189"/>
      <c r="I4" s="192" t="str">
        <f ca="1">IFERROR(VLOOKUP($E$4,자산목록!$A$1:$I$844,2,FALSE),"N/A")</f>
        <v>pcespg-api-comm-796dfdd4bd-74zj4</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198.19.149.38</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14" priority="2" stopIfTrue="1" operator="equal">
      <formula>"N/A"</formula>
    </cfRule>
    <cfRule type="cellIs" dxfId="13" priority="3" stopIfTrue="1" operator="equal">
      <formula>"N"</formula>
    </cfRule>
  </conditionalFormatting>
  <conditionalFormatting sqref="J21:J59">
    <cfRule type="containsText" dxfId="12"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34F59764-2DEB-46AC-92B6-A4644D2C481B}">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5706-BCA0-4386-ADE8-695973ACDD59}">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U_015</v>
      </c>
      <c r="F4" s="203"/>
      <c r="G4" s="189" t="s">
        <v>222</v>
      </c>
      <c r="H4" s="189"/>
      <c r="I4" s="192" t="str">
        <f ca="1">IFERROR(VLOOKUP($E$4,자산목록!$A$1:$I$844,2,FALSE),"N/A")</f>
        <v>pcespg-api-comm-796dfdd4bd-54kdc</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198.19.149.38</v>
      </c>
      <c r="J5" s="192"/>
      <c r="K5" s="78"/>
      <c r="L5" s="73"/>
      <c r="M5" s="79"/>
      <c r="N5" s="79"/>
    </row>
    <row r="6" spans="1:14" ht="13.5" customHeight="1">
      <c r="A6" s="189" t="s">
        <v>225</v>
      </c>
      <c r="B6" s="189"/>
      <c r="C6" s="189"/>
      <c r="D6" s="189"/>
      <c r="E6" s="190">
        <f ca="1">IFERROR(VLOOKUP($E$4,자산목록!$A$1:$I$844,6,FALSE),"N/A")</f>
        <v>0</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11" priority="2" stopIfTrue="1" operator="equal">
      <formula>"N/A"</formula>
    </cfRule>
    <cfRule type="cellIs" dxfId="10" priority="3" stopIfTrue="1" operator="equal">
      <formula>"N"</formula>
    </cfRule>
  </conditionalFormatting>
  <conditionalFormatting sqref="J21:J59">
    <cfRule type="containsText" dxfId="9"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0AC345DF-944F-4D36-968E-15D9083D31A7}">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AED5-D657-4359-97E5-66EDE5152C7E}">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U_016</v>
      </c>
      <c r="F4" s="203"/>
      <c r="G4" s="189" t="s">
        <v>222</v>
      </c>
      <c r="H4" s="189"/>
      <c r="I4" s="192" t="str">
        <f ca="1">IFERROR(VLOOKUP($E$4,자산목록!$A$1:$I$844,2,FALSE),"N/A")</f>
        <v>pcespg-gw-5bc7bfb557-n9dbr</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198.19.207.169</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8" priority="2" stopIfTrue="1" operator="equal">
      <formula>"N/A"</formula>
    </cfRule>
    <cfRule type="cellIs" dxfId="7" priority="3" stopIfTrue="1" operator="equal">
      <formula>"N"</formula>
    </cfRule>
  </conditionalFormatting>
  <conditionalFormatting sqref="J21:J59">
    <cfRule type="containsText" dxfId="6"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37797B4E-41C0-4B36-AE25-58572422A44B}">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F7784-E4D2-4E87-875C-1BE1AF77965C}">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U_017</v>
      </c>
      <c r="F4" s="203"/>
      <c r="G4" s="189" t="s">
        <v>222</v>
      </c>
      <c r="H4" s="189"/>
      <c r="I4" s="192" t="str">
        <f ca="1">IFERROR(VLOOKUP($E$4,자산목록!$A$1:$I$844,2,FALSE),"N/A")</f>
        <v>pcespg-gw-5bc7bfb557-fb6g9</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198.19.207.169</v>
      </c>
      <c r="J5" s="192"/>
      <c r="K5" s="78"/>
      <c r="L5" s="73"/>
      <c r="M5" s="79"/>
      <c r="N5" s="79"/>
    </row>
    <row r="6" spans="1:14" ht="13.5" customHeight="1">
      <c r="A6" s="189" t="s">
        <v>225</v>
      </c>
      <c r="B6" s="189"/>
      <c r="C6" s="189"/>
      <c r="D6" s="189"/>
      <c r="E6" s="190">
        <f ca="1">IFERROR(VLOOKUP($E$4,자산목록!$A$1:$I$844,6,FALSE),"N/A")</f>
        <v>0</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389</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390</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391</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392</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393</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5" priority="2" stopIfTrue="1" operator="equal">
      <formula>"N/A"</formula>
    </cfRule>
    <cfRule type="cellIs" dxfId="4" priority="3" stopIfTrue="1" operator="equal">
      <formula>"N"</formula>
    </cfRule>
  </conditionalFormatting>
  <conditionalFormatting sqref="J21:J59">
    <cfRule type="containsText" dxfId="3"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77F38FB5-E6B2-4E9D-9AB1-D1F3C76F1502}">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F7CB-07AA-461A-B772-CE0CCCCC5090}">
  <sheetPr>
    <tabColor theme="0" tint="-0.14999847407452621"/>
  </sheetPr>
  <dimension ref="A1:O80"/>
  <sheetViews>
    <sheetView showGridLines="0" view="pageBreakPreview" zoomScaleNormal="85" zoomScaleSheetLayoutView="100" workbookViewId="0"/>
  </sheetViews>
  <sheetFormatPr defaultRowHeight="14.4"/>
  <cols>
    <col min="1" max="1" width="3.59765625" style="20" customWidth="1"/>
    <col min="2" max="2" width="11.5" style="20" hidden="1" customWidth="1"/>
    <col min="3" max="3" width="8.09765625" style="20" customWidth="1"/>
    <col min="4" max="4" width="5.69921875" style="20" customWidth="1"/>
    <col min="5" max="10" width="6.09765625" style="20" customWidth="1"/>
    <col min="11" max="11" width="30.09765625" style="20" customWidth="1"/>
    <col min="12" max="12" width="26.09765625" style="20" customWidth="1"/>
    <col min="13" max="13" width="8.09765625" style="109" hidden="1" customWidth="1"/>
    <col min="14" max="14" width="7" style="20" hidden="1" customWidth="1"/>
    <col min="15" max="15" width="8.796875" style="74"/>
    <col min="16" max="16" width="7.59765625" style="20" customWidth="1"/>
    <col min="17" max="17" width="5.09765625" style="20" customWidth="1"/>
    <col min="18" max="257" width="8.796875" style="20"/>
    <col min="258" max="258" width="3.59765625" style="20" customWidth="1"/>
    <col min="259" max="259" width="8.09765625" style="20" customWidth="1"/>
    <col min="260" max="260" width="5.69921875" style="20" customWidth="1"/>
    <col min="261" max="266" width="6.09765625" style="20" customWidth="1"/>
    <col min="267" max="267" width="30.09765625" style="20" customWidth="1"/>
    <col min="268" max="268" width="26.09765625" style="20" customWidth="1"/>
    <col min="269" max="269" width="8.09765625" style="20" customWidth="1"/>
    <col min="270" max="270" width="7" style="20" bestFit="1" customWidth="1"/>
    <col min="271" max="271" width="8.796875" style="20"/>
    <col min="272" max="272" width="7.59765625" style="20" customWidth="1"/>
    <col min="273" max="273" width="5.09765625" style="20" customWidth="1"/>
    <col min="274" max="513" width="8.796875" style="20"/>
    <col min="514" max="514" width="3.59765625" style="20" customWidth="1"/>
    <col min="515" max="515" width="8.09765625" style="20" customWidth="1"/>
    <col min="516" max="516" width="5.69921875" style="20" customWidth="1"/>
    <col min="517" max="522" width="6.09765625" style="20" customWidth="1"/>
    <col min="523" max="523" width="30.09765625" style="20" customWidth="1"/>
    <col min="524" max="524" width="26.09765625" style="20" customWidth="1"/>
    <col min="525" max="525" width="8.09765625" style="20" customWidth="1"/>
    <col min="526" max="526" width="7" style="20" bestFit="1" customWidth="1"/>
    <col min="527" max="527" width="8.796875" style="20"/>
    <col min="528" max="528" width="7.59765625" style="20" customWidth="1"/>
    <col min="529" max="529" width="5.09765625" style="20" customWidth="1"/>
    <col min="530" max="769" width="8.796875" style="20"/>
    <col min="770" max="770" width="3.59765625" style="20" customWidth="1"/>
    <col min="771" max="771" width="8.09765625" style="20" customWidth="1"/>
    <col min="772" max="772" width="5.69921875" style="20" customWidth="1"/>
    <col min="773" max="778" width="6.09765625" style="20" customWidth="1"/>
    <col min="779" max="779" width="30.09765625" style="20" customWidth="1"/>
    <col min="780" max="780" width="26.09765625" style="20" customWidth="1"/>
    <col min="781" max="781" width="8.09765625" style="20" customWidth="1"/>
    <col min="782" max="782" width="7" style="20" bestFit="1" customWidth="1"/>
    <col min="783" max="783" width="8.796875" style="20"/>
    <col min="784" max="784" width="7.59765625" style="20" customWidth="1"/>
    <col min="785" max="785" width="5.09765625" style="20" customWidth="1"/>
    <col min="786" max="1025" width="8.796875" style="20"/>
    <col min="1026" max="1026" width="3.59765625" style="20" customWidth="1"/>
    <col min="1027" max="1027" width="8.09765625" style="20" customWidth="1"/>
    <col min="1028" max="1028" width="5.69921875" style="20" customWidth="1"/>
    <col min="1029" max="1034" width="6.09765625" style="20" customWidth="1"/>
    <col min="1035" max="1035" width="30.09765625" style="20" customWidth="1"/>
    <col min="1036" max="1036" width="26.09765625" style="20" customWidth="1"/>
    <col min="1037" max="1037" width="8.09765625" style="20" customWidth="1"/>
    <col min="1038" max="1038" width="7" style="20" bestFit="1" customWidth="1"/>
    <col min="1039" max="1039" width="8.796875" style="20"/>
    <col min="1040" max="1040" width="7.59765625" style="20" customWidth="1"/>
    <col min="1041" max="1041" width="5.09765625" style="20" customWidth="1"/>
    <col min="1042" max="1281" width="8.796875" style="20"/>
    <col min="1282" max="1282" width="3.59765625" style="20" customWidth="1"/>
    <col min="1283" max="1283" width="8.09765625" style="20" customWidth="1"/>
    <col min="1284" max="1284" width="5.69921875" style="20" customWidth="1"/>
    <col min="1285" max="1290" width="6.09765625" style="20" customWidth="1"/>
    <col min="1291" max="1291" width="30.09765625" style="20" customWidth="1"/>
    <col min="1292" max="1292" width="26.09765625" style="20" customWidth="1"/>
    <col min="1293" max="1293" width="8.09765625" style="20" customWidth="1"/>
    <col min="1294" max="1294" width="7" style="20" bestFit="1" customWidth="1"/>
    <col min="1295" max="1295" width="8.796875" style="20"/>
    <col min="1296" max="1296" width="7.59765625" style="20" customWidth="1"/>
    <col min="1297" max="1297" width="5.09765625" style="20" customWidth="1"/>
    <col min="1298" max="1537" width="8.796875" style="20"/>
    <col min="1538" max="1538" width="3.59765625" style="20" customWidth="1"/>
    <col min="1539" max="1539" width="8.09765625" style="20" customWidth="1"/>
    <col min="1540" max="1540" width="5.69921875" style="20" customWidth="1"/>
    <col min="1541" max="1546" width="6.09765625" style="20" customWidth="1"/>
    <col min="1547" max="1547" width="30.09765625" style="20" customWidth="1"/>
    <col min="1548" max="1548" width="26.09765625" style="20" customWidth="1"/>
    <col min="1549" max="1549" width="8.09765625" style="20" customWidth="1"/>
    <col min="1550" max="1550" width="7" style="20" bestFit="1" customWidth="1"/>
    <col min="1551" max="1551" width="8.796875" style="20"/>
    <col min="1552" max="1552" width="7.59765625" style="20" customWidth="1"/>
    <col min="1553" max="1553" width="5.09765625" style="20" customWidth="1"/>
    <col min="1554" max="1793" width="8.796875" style="20"/>
    <col min="1794" max="1794" width="3.59765625" style="20" customWidth="1"/>
    <col min="1795" max="1795" width="8.09765625" style="20" customWidth="1"/>
    <col min="1796" max="1796" width="5.69921875" style="20" customWidth="1"/>
    <col min="1797" max="1802" width="6.09765625" style="20" customWidth="1"/>
    <col min="1803" max="1803" width="30.09765625" style="20" customWidth="1"/>
    <col min="1804" max="1804" width="26.09765625" style="20" customWidth="1"/>
    <col min="1805" max="1805" width="8.09765625" style="20" customWidth="1"/>
    <col min="1806" max="1806" width="7" style="20" bestFit="1" customWidth="1"/>
    <col min="1807" max="1807" width="8.796875" style="20"/>
    <col min="1808" max="1808" width="7.59765625" style="20" customWidth="1"/>
    <col min="1809" max="1809" width="5.09765625" style="20" customWidth="1"/>
    <col min="1810" max="2049" width="8.796875" style="20"/>
    <col min="2050" max="2050" width="3.59765625" style="20" customWidth="1"/>
    <col min="2051" max="2051" width="8.09765625" style="20" customWidth="1"/>
    <col min="2052" max="2052" width="5.69921875" style="20" customWidth="1"/>
    <col min="2053" max="2058" width="6.09765625" style="20" customWidth="1"/>
    <col min="2059" max="2059" width="30.09765625" style="20" customWidth="1"/>
    <col min="2060" max="2060" width="26.09765625" style="20" customWidth="1"/>
    <col min="2061" max="2061" width="8.09765625" style="20" customWidth="1"/>
    <col min="2062" max="2062" width="7" style="20" bestFit="1" customWidth="1"/>
    <col min="2063" max="2063" width="8.796875" style="20"/>
    <col min="2064" max="2064" width="7.59765625" style="20" customWidth="1"/>
    <col min="2065" max="2065" width="5.09765625" style="20" customWidth="1"/>
    <col min="2066" max="2305" width="8.796875" style="20"/>
    <col min="2306" max="2306" width="3.59765625" style="20" customWidth="1"/>
    <col min="2307" max="2307" width="8.09765625" style="20" customWidth="1"/>
    <col min="2308" max="2308" width="5.69921875" style="20" customWidth="1"/>
    <col min="2309" max="2314" width="6.09765625" style="20" customWidth="1"/>
    <col min="2315" max="2315" width="30.09765625" style="20" customWidth="1"/>
    <col min="2316" max="2316" width="26.09765625" style="20" customWidth="1"/>
    <col min="2317" max="2317" width="8.09765625" style="20" customWidth="1"/>
    <col min="2318" max="2318" width="7" style="20" bestFit="1" customWidth="1"/>
    <col min="2319" max="2319" width="8.796875" style="20"/>
    <col min="2320" max="2320" width="7.59765625" style="20" customWidth="1"/>
    <col min="2321" max="2321" width="5.09765625" style="20" customWidth="1"/>
    <col min="2322" max="2561" width="8.796875" style="20"/>
    <col min="2562" max="2562" width="3.59765625" style="20" customWidth="1"/>
    <col min="2563" max="2563" width="8.09765625" style="20" customWidth="1"/>
    <col min="2564" max="2564" width="5.69921875" style="20" customWidth="1"/>
    <col min="2565" max="2570" width="6.09765625" style="20" customWidth="1"/>
    <col min="2571" max="2571" width="30.09765625" style="20" customWidth="1"/>
    <col min="2572" max="2572" width="26.09765625" style="20" customWidth="1"/>
    <col min="2573" max="2573" width="8.09765625" style="20" customWidth="1"/>
    <col min="2574" max="2574" width="7" style="20" bestFit="1" customWidth="1"/>
    <col min="2575" max="2575" width="8.796875" style="20"/>
    <col min="2576" max="2576" width="7.59765625" style="20" customWidth="1"/>
    <col min="2577" max="2577" width="5.09765625" style="20" customWidth="1"/>
    <col min="2578" max="2817" width="8.796875" style="20"/>
    <col min="2818" max="2818" width="3.59765625" style="20" customWidth="1"/>
    <col min="2819" max="2819" width="8.09765625" style="20" customWidth="1"/>
    <col min="2820" max="2820" width="5.69921875" style="20" customWidth="1"/>
    <col min="2821" max="2826" width="6.09765625" style="20" customWidth="1"/>
    <col min="2827" max="2827" width="30.09765625" style="20" customWidth="1"/>
    <col min="2828" max="2828" width="26.09765625" style="20" customWidth="1"/>
    <col min="2829" max="2829" width="8.09765625" style="20" customWidth="1"/>
    <col min="2830" max="2830" width="7" style="20" bestFit="1" customWidth="1"/>
    <col min="2831" max="2831" width="8.796875" style="20"/>
    <col min="2832" max="2832" width="7.59765625" style="20" customWidth="1"/>
    <col min="2833" max="2833" width="5.09765625" style="20" customWidth="1"/>
    <col min="2834" max="3073" width="8.796875" style="20"/>
    <col min="3074" max="3074" width="3.59765625" style="20" customWidth="1"/>
    <col min="3075" max="3075" width="8.09765625" style="20" customWidth="1"/>
    <col min="3076" max="3076" width="5.69921875" style="20" customWidth="1"/>
    <col min="3077" max="3082" width="6.09765625" style="20" customWidth="1"/>
    <col min="3083" max="3083" width="30.09765625" style="20" customWidth="1"/>
    <col min="3084" max="3084" width="26.09765625" style="20" customWidth="1"/>
    <col min="3085" max="3085" width="8.09765625" style="20" customWidth="1"/>
    <col min="3086" max="3086" width="7" style="20" bestFit="1" customWidth="1"/>
    <col min="3087" max="3087" width="8.796875" style="20"/>
    <col min="3088" max="3088" width="7.59765625" style="20" customWidth="1"/>
    <col min="3089" max="3089" width="5.09765625" style="20" customWidth="1"/>
    <col min="3090" max="3329" width="8.796875" style="20"/>
    <col min="3330" max="3330" width="3.59765625" style="20" customWidth="1"/>
    <col min="3331" max="3331" width="8.09765625" style="20" customWidth="1"/>
    <col min="3332" max="3332" width="5.69921875" style="20" customWidth="1"/>
    <col min="3333" max="3338" width="6.09765625" style="20" customWidth="1"/>
    <col min="3339" max="3339" width="30.09765625" style="20" customWidth="1"/>
    <col min="3340" max="3340" width="26.09765625" style="20" customWidth="1"/>
    <col min="3341" max="3341" width="8.09765625" style="20" customWidth="1"/>
    <col min="3342" max="3342" width="7" style="20" bestFit="1" customWidth="1"/>
    <col min="3343" max="3343" width="8.796875" style="20"/>
    <col min="3344" max="3344" width="7.59765625" style="20" customWidth="1"/>
    <col min="3345" max="3345" width="5.09765625" style="20" customWidth="1"/>
    <col min="3346" max="3585" width="8.796875" style="20"/>
    <col min="3586" max="3586" width="3.59765625" style="20" customWidth="1"/>
    <col min="3587" max="3587" width="8.09765625" style="20" customWidth="1"/>
    <col min="3588" max="3588" width="5.69921875" style="20" customWidth="1"/>
    <col min="3589" max="3594" width="6.09765625" style="20" customWidth="1"/>
    <col min="3595" max="3595" width="30.09765625" style="20" customWidth="1"/>
    <col min="3596" max="3596" width="26.09765625" style="20" customWidth="1"/>
    <col min="3597" max="3597" width="8.09765625" style="20" customWidth="1"/>
    <col min="3598" max="3598" width="7" style="20" bestFit="1" customWidth="1"/>
    <col min="3599" max="3599" width="8.796875" style="20"/>
    <col min="3600" max="3600" width="7.59765625" style="20" customWidth="1"/>
    <col min="3601" max="3601" width="5.09765625" style="20" customWidth="1"/>
    <col min="3602" max="3841" width="8.796875" style="20"/>
    <col min="3842" max="3842" width="3.59765625" style="20" customWidth="1"/>
    <col min="3843" max="3843" width="8.09765625" style="20" customWidth="1"/>
    <col min="3844" max="3844" width="5.69921875" style="20" customWidth="1"/>
    <col min="3845" max="3850" width="6.09765625" style="20" customWidth="1"/>
    <col min="3851" max="3851" width="30.09765625" style="20" customWidth="1"/>
    <col min="3852" max="3852" width="26.09765625" style="20" customWidth="1"/>
    <col min="3853" max="3853" width="8.09765625" style="20" customWidth="1"/>
    <col min="3854" max="3854" width="7" style="20" bestFit="1" customWidth="1"/>
    <col min="3855" max="3855" width="8.796875" style="20"/>
    <col min="3856" max="3856" width="7.59765625" style="20" customWidth="1"/>
    <col min="3857" max="3857" width="5.09765625" style="20" customWidth="1"/>
    <col min="3858" max="4097" width="8.796875" style="20"/>
    <col min="4098" max="4098" width="3.59765625" style="20" customWidth="1"/>
    <col min="4099" max="4099" width="8.09765625" style="20" customWidth="1"/>
    <col min="4100" max="4100" width="5.69921875" style="20" customWidth="1"/>
    <col min="4101" max="4106" width="6.09765625" style="20" customWidth="1"/>
    <col min="4107" max="4107" width="30.09765625" style="20" customWidth="1"/>
    <col min="4108" max="4108" width="26.09765625" style="20" customWidth="1"/>
    <col min="4109" max="4109" width="8.09765625" style="20" customWidth="1"/>
    <col min="4110" max="4110" width="7" style="20" bestFit="1" customWidth="1"/>
    <col min="4111" max="4111" width="8.796875" style="20"/>
    <col min="4112" max="4112" width="7.59765625" style="20" customWidth="1"/>
    <col min="4113" max="4113" width="5.09765625" style="20" customWidth="1"/>
    <col min="4114" max="4353" width="8.796875" style="20"/>
    <col min="4354" max="4354" width="3.59765625" style="20" customWidth="1"/>
    <col min="4355" max="4355" width="8.09765625" style="20" customWidth="1"/>
    <col min="4356" max="4356" width="5.69921875" style="20" customWidth="1"/>
    <col min="4357" max="4362" width="6.09765625" style="20" customWidth="1"/>
    <col min="4363" max="4363" width="30.09765625" style="20" customWidth="1"/>
    <col min="4364" max="4364" width="26.09765625" style="20" customWidth="1"/>
    <col min="4365" max="4365" width="8.09765625" style="20" customWidth="1"/>
    <col min="4366" max="4366" width="7" style="20" bestFit="1" customWidth="1"/>
    <col min="4367" max="4367" width="8.796875" style="20"/>
    <col min="4368" max="4368" width="7.59765625" style="20" customWidth="1"/>
    <col min="4369" max="4369" width="5.09765625" style="20" customWidth="1"/>
    <col min="4370" max="4609" width="8.796875" style="20"/>
    <col min="4610" max="4610" width="3.59765625" style="20" customWidth="1"/>
    <col min="4611" max="4611" width="8.09765625" style="20" customWidth="1"/>
    <col min="4612" max="4612" width="5.69921875" style="20" customWidth="1"/>
    <col min="4613" max="4618" width="6.09765625" style="20" customWidth="1"/>
    <col min="4619" max="4619" width="30.09765625" style="20" customWidth="1"/>
    <col min="4620" max="4620" width="26.09765625" style="20" customWidth="1"/>
    <col min="4621" max="4621" width="8.09765625" style="20" customWidth="1"/>
    <col min="4622" max="4622" width="7" style="20" bestFit="1" customWidth="1"/>
    <col min="4623" max="4623" width="8.796875" style="20"/>
    <col min="4624" max="4624" width="7.59765625" style="20" customWidth="1"/>
    <col min="4625" max="4625" width="5.09765625" style="20" customWidth="1"/>
    <col min="4626" max="4865" width="8.796875" style="20"/>
    <col min="4866" max="4866" width="3.59765625" style="20" customWidth="1"/>
    <col min="4867" max="4867" width="8.09765625" style="20" customWidth="1"/>
    <col min="4868" max="4868" width="5.69921875" style="20" customWidth="1"/>
    <col min="4869" max="4874" width="6.09765625" style="20" customWidth="1"/>
    <col min="4875" max="4875" width="30.09765625" style="20" customWidth="1"/>
    <col min="4876" max="4876" width="26.09765625" style="20" customWidth="1"/>
    <col min="4877" max="4877" width="8.09765625" style="20" customWidth="1"/>
    <col min="4878" max="4878" width="7" style="20" bestFit="1" customWidth="1"/>
    <col min="4879" max="4879" width="8.796875" style="20"/>
    <col min="4880" max="4880" width="7.59765625" style="20" customWidth="1"/>
    <col min="4881" max="4881" width="5.09765625" style="20" customWidth="1"/>
    <col min="4882" max="5121" width="8.796875" style="20"/>
    <col min="5122" max="5122" width="3.59765625" style="20" customWidth="1"/>
    <col min="5123" max="5123" width="8.09765625" style="20" customWidth="1"/>
    <col min="5124" max="5124" width="5.69921875" style="20" customWidth="1"/>
    <col min="5125" max="5130" width="6.09765625" style="20" customWidth="1"/>
    <col min="5131" max="5131" width="30.09765625" style="20" customWidth="1"/>
    <col min="5132" max="5132" width="26.09765625" style="20" customWidth="1"/>
    <col min="5133" max="5133" width="8.09765625" style="20" customWidth="1"/>
    <col min="5134" max="5134" width="7" style="20" bestFit="1" customWidth="1"/>
    <col min="5135" max="5135" width="8.796875" style="20"/>
    <col min="5136" max="5136" width="7.59765625" style="20" customWidth="1"/>
    <col min="5137" max="5137" width="5.09765625" style="20" customWidth="1"/>
    <col min="5138" max="5377" width="8.796875" style="20"/>
    <col min="5378" max="5378" width="3.59765625" style="20" customWidth="1"/>
    <col min="5379" max="5379" width="8.09765625" style="20" customWidth="1"/>
    <col min="5380" max="5380" width="5.69921875" style="20" customWidth="1"/>
    <col min="5381" max="5386" width="6.09765625" style="20" customWidth="1"/>
    <col min="5387" max="5387" width="30.09765625" style="20" customWidth="1"/>
    <col min="5388" max="5388" width="26.09765625" style="20" customWidth="1"/>
    <col min="5389" max="5389" width="8.09765625" style="20" customWidth="1"/>
    <col min="5390" max="5390" width="7" style="20" bestFit="1" customWidth="1"/>
    <col min="5391" max="5391" width="8.796875" style="20"/>
    <col min="5392" max="5392" width="7.59765625" style="20" customWidth="1"/>
    <col min="5393" max="5393" width="5.09765625" style="20" customWidth="1"/>
    <col min="5394" max="5633" width="8.796875" style="20"/>
    <col min="5634" max="5634" width="3.59765625" style="20" customWidth="1"/>
    <col min="5635" max="5635" width="8.09765625" style="20" customWidth="1"/>
    <col min="5636" max="5636" width="5.69921875" style="20" customWidth="1"/>
    <col min="5637" max="5642" width="6.09765625" style="20" customWidth="1"/>
    <col min="5643" max="5643" width="30.09765625" style="20" customWidth="1"/>
    <col min="5644" max="5644" width="26.09765625" style="20" customWidth="1"/>
    <col min="5645" max="5645" width="8.09765625" style="20" customWidth="1"/>
    <col min="5646" max="5646" width="7" style="20" bestFit="1" customWidth="1"/>
    <col min="5647" max="5647" width="8.796875" style="20"/>
    <col min="5648" max="5648" width="7.59765625" style="20" customWidth="1"/>
    <col min="5649" max="5649" width="5.09765625" style="20" customWidth="1"/>
    <col min="5650" max="5889" width="8.796875" style="20"/>
    <col min="5890" max="5890" width="3.59765625" style="20" customWidth="1"/>
    <col min="5891" max="5891" width="8.09765625" style="20" customWidth="1"/>
    <col min="5892" max="5892" width="5.69921875" style="20" customWidth="1"/>
    <col min="5893" max="5898" width="6.09765625" style="20" customWidth="1"/>
    <col min="5899" max="5899" width="30.09765625" style="20" customWidth="1"/>
    <col min="5900" max="5900" width="26.09765625" style="20" customWidth="1"/>
    <col min="5901" max="5901" width="8.09765625" style="20" customWidth="1"/>
    <col min="5902" max="5902" width="7" style="20" bestFit="1" customWidth="1"/>
    <col min="5903" max="5903" width="8.796875" style="20"/>
    <col min="5904" max="5904" width="7.59765625" style="20" customWidth="1"/>
    <col min="5905" max="5905" width="5.09765625" style="20" customWidth="1"/>
    <col min="5906" max="6145" width="8.796875" style="20"/>
    <col min="6146" max="6146" width="3.59765625" style="20" customWidth="1"/>
    <col min="6147" max="6147" width="8.09765625" style="20" customWidth="1"/>
    <col min="6148" max="6148" width="5.69921875" style="20" customWidth="1"/>
    <col min="6149" max="6154" width="6.09765625" style="20" customWidth="1"/>
    <col min="6155" max="6155" width="30.09765625" style="20" customWidth="1"/>
    <col min="6156" max="6156" width="26.09765625" style="20" customWidth="1"/>
    <col min="6157" max="6157" width="8.09765625" style="20" customWidth="1"/>
    <col min="6158" max="6158" width="7" style="20" bestFit="1" customWidth="1"/>
    <col min="6159" max="6159" width="8.796875" style="20"/>
    <col min="6160" max="6160" width="7.59765625" style="20" customWidth="1"/>
    <col min="6161" max="6161" width="5.09765625" style="20" customWidth="1"/>
    <col min="6162" max="6401" width="8.796875" style="20"/>
    <col min="6402" max="6402" width="3.59765625" style="20" customWidth="1"/>
    <col min="6403" max="6403" width="8.09765625" style="20" customWidth="1"/>
    <col min="6404" max="6404" width="5.69921875" style="20" customWidth="1"/>
    <col min="6405" max="6410" width="6.09765625" style="20" customWidth="1"/>
    <col min="6411" max="6411" width="30.09765625" style="20" customWidth="1"/>
    <col min="6412" max="6412" width="26.09765625" style="20" customWidth="1"/>
    <col min="6413" max="6413" width="8.09765625" style="20" customWidth="1"/>
    <col min="6414" max="6414" width="7" style="20" bestFit="1" customWidth="1"/>
    <col min="6415" max="6415" width="8.796875" style="20"/>
    <col min="6416" max="6416" width="7.59765625" style="20" customWidth="1"/>
    <col min="6417" max="6417" width="5.09765625" style="20" customWidth="1"/>
    <col min="6418" max="6657" width="8.796875" style="20"/>
    <col min="6658" max="6658" width="3.59765625" style="20" customWidth="1"/>
    <col min="6659" max="6659" width="8.09765625" style="20" customWidth="1"/>
    <col min="6660" max="6660" width="5.69921875" style="20" customWidth="1"/>
    <col min="6661" max="6666" width="6.09765625" style="20" customWidth="1"/>
    <col min="6667" max="6667" width="30.09765625" style="20" customWidth="1"/>
    <col min="6668" max="6668" width="26.09765625" style="20" customWidth="1"/>
    <col min="6669" max="6669" width="8.09765625" style="20" customWidth="1"/>
    <col min="6670" max="6670" width="7" style="20" bestFit="1" customWidth="1"/>
    <col min="6671" max="6671" width="8.796875" style="20"/>
    <col min="6672" max="6672" width="7.59765625" style="20" customWidth="1"/>
    <col min="6673" max="6673" width="5.09765625" style="20" customWidth="1"/>
    <col min="6674" max="6913" width="8.796875" style="20"/>
    <col min="6914" max="6914" width="3.59765625" style="20" customWidth="1"/>
    <col min="6915" max="6915" width="8.09765625" style="20" customWidth="1"/>
    <col min="6916" max="6916" width="5.69921875" style="20" customWidth="1"/>
    <col min="6917" max="6922" width="6.09765625" style="20" customWidth="1"/>
    <col min="6923" max="6923" width="30.09765625" style="20" customWidth="1"/>
    <col min="6924" max="6924" width="26.09765625" style="20" customWidth="1"/>
    <col min="6925" max="6925" width="8.09765625" style="20" customWidth="1"/>
    <col min="6926" max="6926" width="7" style="20" bestFit="1" customWidth="1"/>
    <col min="6927" max="6927" width="8.796875" style="20"/>
    <col min="6928" max="6928" width="7.59765625" style="20" customWidth="1"/>
    <col min="6929" max="6929" width="5.09765625" style="20" customWidth="1"/>
    <col min="6930" max="7169" width="8.796875" style="20"/>
    <col min="7170" max="7170" width="3.59765625" style="20" customWidth="1"/>
    <col min="7171" max="7171" width="8.09765625" style="20" customWidth="1"/>
    <col min="7172" max="7172" width="5.69921875" style="20" customWidth="1"/>
    <col min="7173" max="7178" width="6.09765625" style="20" customWidth="1"/>
    <col min="7179" max="7179" width="30.09765625" style="20" customWidth="1"/>
    <col min="7180" max="7180" width="26.09765625" style="20" customWidth="1"/>
    <col min="7181" max="7181" width="8.09765625" style="20" customWidth="1"/>
    <col min="7182" max="7182" width="7" style="20" bestFit="1" customWidth="1"/>
    <col min="7183" max="7183" width="8.796875" style="20"/>
    <col min="7184" max="7184" width="7.59765625" style="20" customWidth="1"/>
    <col min="7185" max="7185" width="5.09765625" style="20" customWidth="1"/>
    <col min="7186" max="7425" width="8.796875" style="20"/>
    <col min="7426" max="7426" width="3.59765625" style="20" customWidth="1"/>
    <col min="7427" max="7427" width="8.09765625" style="20" customWidth="1"/>
    <col min="7428" max="7428" width="5.69921875" style="20" customWidth="1"/>
    <col min="7429" max="7434" width="6.09765625" style="20" customWidth="1"/>
    <col min="7435" max="7435" width="30.09765625" style="20" customWidth="1"/>
    <col min="7436" max="7436" width="26.09765625" style="20" customWidth="1"/>
    <col min="7437" max="7437" width="8.09765625" style="20" customWidth="1"/>
    <col min="7438" max="7438" width="7" style="20" bestFit="1" customWidth="1"/>
    <col min="7439" max="7439" width="8.796875" style="20"/>
    <col min="7440" max="7440" width="7.59765625" style="20" customWidth="1"/>
    <col min="7441" max="7441" width="5.09765625" style="20" customWidth="1"/>
    <col min="7442" max="7681" width="8.796875" style="20"/>
    <col min="7682" max="7682" width="3.59765625" style="20" customWidth="1"/>
    <col min="7683" max="7683" width="8.09765625" style="20" customWidth="1"/>
    <col min="7684" max="7684" width="5.69921875" style="20" customWidth="1"/>
    <col min="7685" max="7690" width="6.09765625" style="20" customWidth="1"/>
    <col min="7691" max="7691" width="30.09765625" style="20" customWidth="1"/>
    <col min="7692" max="7692" width="26.09765625" style="20" customWidth="1"/>
    <col min="7693" max="7693" width="8.09765625" style="20" customWidth="1"/>
    <col min="7694" max="7694" width="7" style="20" bestFit="1" customWidth="1"/>
    <col min="7695" max="7695" width="8.796875" style="20"/>
    <col min="7696" max="7696" width="7.59765625" style="20" customWidth="1"/>
    <col min="7697" max="7697" width="5.09765625" style="20" customWidth="1"/>
    <col min="7698" max="7937" width="8.796875" style="20"/>
    <col min="7938" max="7938" width="3.59765625" style="20" customWidth="1"/>
    <col min="7939" max="7939" width="8.09765625" style="20" customWidth="1"/>
    <col min="7940" max="7940" width="5.69921875" style="20" customWidth="1"/>
    <col min="7941" max="7946" width="6.09765625" style="20" customWidth="1"/>
    <col min="7947" max="7947" width="30.09765625" style="20" customWidth="1"/>
    <col min="7948" max="7948" width="26.09765625" style="20" customWidth="1"/>
    <col min="7949" max="7949" width="8.09765625" style="20" customWidth="1"/>
    <col min="7950" max="7950" width="7" style="20" bestFit="1" customWidth="1"/>
    <col min="7951" max="7951" width="8.796875" style="20"/>
    <col min="7952" max="7952" width="7.59765625" style="20" customWidth="1"/>
    <col min="7953" max="7953" width="5.09765625" style="20" customWidth="1"/>
    <col min="7954" max="8193" width="8.796875" style="20"/>
    <col min="8194" max="8194" width="3.59765625" style="20" customWidth="1"/>
    <col min="8195" max="8195" width="8.09765625" style="20" customWidth="1"/>
    <col min="8196" max="8196" width="5.69921875" style="20" customWidth="1"/>
    <col min="8197" max="8202" width="6.09765625" style="20" customWidth="1"/>
    <col min="8203" max="8203" width="30.09765625" style="20" customWidth="1"/>
    <col min="8204" max="8204" width="26.09765625" style="20" customWidth="1"/>
    <col min="8205" max="8205" width="8.09765625" style="20" customWidth="1"/>
    <col min="8206" max="8206" width="7" style="20" bestFit="1" customWidth="1"/>
    <col min="8207" max="8207" width="8.796875" style="20"/>
    <col min="8208" max="8208" width="7.59765625" style="20" customWidth="1"/>
    <col min="8209" max="8209" width="5.09765625" style="20" customWidth="1"/>
    <col min="8210" max="8449" width="8.796875" style="20"/>
    <col min="8450" max="8450" width="3.59765625" style="20" customWidth="1"/>
    <col min="8451" max="8451" width="8.09765625" style="20" customWidth="1"/>
    <col min="8452" max="8452" width="5.69921875" style="20" customWidth="1"/>
    <col min="8453" max="8458" width="6.09765625" style="20" customWidth="1"/>
    <col min="8459" max="8459" width="30.09765625" style="20" customWidth="1"/>
    <col min="8460" max="8460" width="26.09765625" style="20" customWidth="1"/>
    <col min="8461" max="8461" width="8.09765625" style="20" customWidth="1"/>
    <col min="8462" max="8462" width="7" style="20" bestFit="1" customWidth="1"/>
    <col min="8463" max="8463" width="8.796875" style="20"/>
    <col min="8464" max="8464" width="7.59765625" style="20" customWidth="1"/>
    <col min="8465" max="8465" width="5.09765625" style="20" customWidth="1"/>
    <col min="8466" max="8705" width="8.796875" style="20"/>
    <col min="8706" max="8706" width="3.59765625" style="20" customWidth="1"/>
    <col min="8707" max="8707" width="8.09765625" style="20" customWidth="1"/>
    <col min="8708" max="8708" width="5.69921875" style="20" customWidth="1"/>
    <col min="8709" max="8714" width="6.09765625" style="20" customWidth="1"/>
    <col min="8715" max="8715" width="30.09765625" style="20" customWidth="1"/>
    <col min="8716" max="8716" width="26.09765625" style="20" customWidth="1"/>
    <col min="8717" max="8717" width="8.09765625" style="20" customWidth="1"/>
    <col min="8718" max="8718" width="7" style="20" bestFit="1" customWidth="1"/>
    <col min="8719" max="8719" width="8.796875" style="20"/>
    <col min="8720" max="8720" width="7.59765625" style="20" customWidth="1"/>
    <col min="8721" max="8721" width="5.09765625" style="20" customWidth="1"/>
    <col min="8722" max="8961" width="8.796875" style="20"/>
    <col min="8962" max="8962" width="3.59765625" style="20" customWidth="1"/>
    <col min="8963" max="8963" width="8.09765625" style="20" customWidth="1"/>
    <col min="8964" max="8964" width="5.69921875" style="20" customWidth="1"/>
    <col min="8965" max="8970" width="6.09765625" style="20" customWidth="1"/>
    <col min="8971" max="8971" width="30.09765625" style="20" customWidth="1"/>
    <col min="8972" max="8972" width="26.09765625" style="20" customWidth="1"/>
    <col min="8973" max="8973" width="8.09765625" style="20" customWidth="1"/>
    <col min="8974" max="8974" width="7" style="20" bestFit="1" customWidth="1"/>
    <col min="8975" max="8975" width="8.796875" style="20"/>
    <col min="8976" max="8976" width="7.59765625" style="20" customWidth="1"/>
    <col min="8977" max="8977" width="5.09765625" style="20" customWidth="1"/>
    <col min="8978" max="9217" width="8.796875" style="20"/>
    <col min="9218" max="9218" width="3.59765625" style="20" customWidth="1"/>
    <col min="9219" max="9219" width="8.09765625" style="20" customWidth="1"/>
    <col min="9220" max="9220" width="5.69921875" style="20" customWidth="1"/>
    <col min="9221" max="9226" width="6.09765625" style="20" customWidth="1"/>
    <col min="9227" max="9227" width="30.09765625" style="20" customWidth="1"/>
    <col min="9228" max="9228" width="26.09765625" style="20" customWidth="1"/>
    <col min="9229" max="9229" width="8.09765625" style="20" customWidth="1"/>
    <col min="9230" max="9230" width="7" style="20" bestFit="1" customWidth="1"/>
    <col min="9231" max="9231" width="8.796875" style="20"/>
    <col min="9232" max="9232" width="7.59765625" style="20" customWidth="1"/>
    <col min="9233" max="9233" width="5.09765625" style="20" customWidth="1"/>
    <col min="9234" max="9473" width="8.796875" style="20"/>
    <col min="9474" max="9474" width="3.59765625" style="20" customWidth="1"/>
    <col min="9475" max="9475" width="8.09765625" style="20" customWidth="1"/>
    <col min="9476" max="9476" width="5.69921875" style="20" customWidth="1"/>
    <col min="9477" max="9482" width="6.09765625" style="20" customWidth="1"/>
    <col min="9483" max="9483" width="30.09765625" style="20" customWidth="1"/>
    <col min="9484" max="9484" width="26.09765625" style="20" customWidth="1"/>
    <col min="9485" max="9485" width="8.09765625" style="20" customWidth="1"/>
    <col min="9486" max="9486" width="7" style="20" bestFit="1" customWidth="1"/>
    <col min="9487" max="9487" width="8.796875" style="20"/>
    <col min="9488" max="9488" width="7.59765625" style="20" customWidth="1"/>
    <col min="9489" max="9489" width="5.09765625" style="20" customWidth="1"/>
    <col min="9490" max="9729" width="8.796875" style="20"/>
    <col min="9730" max="9730" width="3.59765625" style="20" customWidth="1"/>
    <col min="9731" max="9731" width="8.09765625" style="20" customWidth="1"/>
    <col min="9732" max="9732" width="5.69921875" style="20" customWidth="1"/>
    <col min="9733" max="9738" width="6.09765625" style="20" customWidth="1"/>
    <col min="9739" max="9739" width="30.09765625" style="20" customWidth="1"/>
    <col min="9740" max="9740" width="26.09765625" style="20" customWidth="1"/>
    <col min="9741" max="9741" width="8.09765625" style="20" customWidth="1"/>
    <col min="9742" max="9742" width="7" style="20" bestFit="1" customWidth="1"/>
    <col min="9743" max="9743" width="8.796875" style="20"/>
    <col min="9744" max="9744" width="7.59765625" style="20" customWidth="1"/>
    <col min="9745" max="9745" width="5.09765625" style="20" customWidth="1"/>
    <col min="9746" max="9985" width="8.796875" style="20"/>
    <col min="9986" max="9986" width="3.59765625" style="20" customWidth="1"/>
    <col min="9987" max="9987" width="8.09765625" style="20" customWidth="1"/>
    <col min="9988" max="9988" width="5.69921875" style="20" customWidth="1"/>
    <col min="9989" max="9994" width="6.09765625" style="20" customWidth="1"/>
    <col min="9995" max="9995" width="30.09765625" style="20" customWidth="1"/>
    <col min="9996" max="9996" width="26.09765625" style="20" customWidth="1"/>
    <col min="9997" max="9997" width="8.09765625" style="20" customWidth="1"/>
    <col min="9998" max="9998" width="7" style="20" bestFit="1" customWidth="1"/>
    <col min="9999" max="9999" width="8.796875" style="20"/>
    <col min="10000" max="10000" width="7.59765625" style="20" customWidth="1"/>
    <col min="10001" max="10001" width="5.09765625" style="20" customWidth="1"/>
    <col min="10002" max="10241" width="8.796875" style="20"/>
    <col min="10242" max="10242" width="3.59765625" style="20" customWidth="1"/>
    <col min="10243" max="10243" width="8.09765625" style="20" customWidth="1"/>
    <col min="10244" max="10244" width="5.69921875" style="20" customWidth="1"/>
    <col min="10245" max="10250" width="6.09765625" style="20" customWidth="1"/>
    <col min="10251" max="10251" width="30.09765625" style="20" customWidth="1"/>
    <col min="10252" max="10252" width="26.09765625" style="20" customWidth="1"/>
    <col min="10253" max="10253" width="8.09765625" style="20" customWidth="1"/>
    <col min="10254" max="10254" width="7" style="20" bestFit="1" customWidth="1"/>
    <col min="10255" max="10255" width="8.796875" style="20"/>
    <col min="10256" max="10256" width="7.59765625" style="20" customWidth="1"/>
    <col min="10257" max="10257" width="5.09765625" style="20" customWidth="1"/>
    <col min="10258" max="10497" width="8.796875" style="20"/>
    <col min="10498" max="10498" width="3.59765625" style="20" customWidth="1"/>
    <col min="10499" max="10499" width="8.09765625" style="20" customWidth="1"/>
    <col min="10500" max="10500" width="5.69921875" style="20" customWidth="1"/>
    <col min="10501" max="10506" width="6.09765625" style="20" customWidth="1"/>
    <col min="10507" max="10507" width="30.09765625" style="20" customWidth="1"/>
    <col min="10508" max="10508" width="26.09765625" style="20" customWidth="1"/>
    <col min="10509" max="10509" width="8.09765625" style="20" customWidth="1"/>
    <col min="10510" max="10510" width="7" style="20" bestFit="1" customWidth="1"/>
    <col min="10511" max="10511" width="8.796875" style="20"/>
    <col min="10512" max="10512" width="7.59765625" style="20" customWidth="1"/>
    <col min="10513" max="10513" width="5.09765625" style="20" customWidth="1"/>
    <col min="10514" max="10753" width="8.796875" style="20"/>
    <col min="10754" max="10754" width="3.59765625" style="20" customWidth="1"/>
    <col min="10755" max="10755" width="8.09765625" style="20" customWidth="1"/>
    <col min="10756" max="10756" width="5.69921875" style="20" customWidth="1"/>
    <col min="10757" max="10762" width="6.09765625" style="20" customWidth="1"/>
    <col min="10763" max="10763" width="30.09765625" style="20" customWidth="1"/>
    <col min="10764" max="10764" width="26.09765625" style="20" customWidth="1"/>
    <col min="10765" max="10765" width="8.09765625" style="20" customWidth="1"/>
    <col min="10766" max="10766" width="7" style="20" bestFit="1" customWidth="1"/>
    <col min="10767" max="10767" width="8.796875" style="20"/>
    <col min="10768" max="10768" width="7.59765625" style="20" customWidth="1"/>
    <col min="10769" max="10769" width="5.09765625" style="20" customWidth="1"/>
    <col min="10770" max="11009" width="8.796875" style="20"/>
    <col min="11010" max="11010" width="3.59765625" style="20" customWidth="1"/>
    <col min="11011" max="11011" width="8.09765625" style="20" customWidth="1"/>
    <col min="11012" max="11012" width="5.69921875" style="20" customWidth="1"/>
    <col min="11013" max="11018" width="6.09765625" style="20" customWidth="1"/>
    <col min="11019" max="11019" width="30.09765625" style="20" customWidth="1"/>
    <col min="11020" max="11020" width="26.09765625" style="20" customWidth="1"/>
    <col min="11021" max="11021" width="8.09765625" style="20" customWidth="1"/>
    <col min="11022" max="11022" width="7" style="20" bestFit="1" customWidth="1"/>
    <col min="11023" max="11023" width="8.796875" style="20"/>
    <col min="11024" max="11024" width="7.59765625" style="20" customWidth="1"/>
    <col min="11025" max="11025" width="5.09765625" style="20" customWidth="1"/>
    <col min="11026" max="11265" width="8.796875" style="20"/>
    <col min="11266" max="11266" width="3.59765625" style="20" customWidth="1"/>
    <col min="11267" max="11267" width="8.09765625" style="20" customWidth="1"/>
    <col min="11268" max="11268" width="5.69921875" style="20" customWidth="1"/>
    <col min="11269" max="11274" width="6.09765625" style="20" customWidth="1"/>
    <col min="11275" max="11275" width="30.09765625" style="20" customWidth="1"/>
    <col min="11276" max="11276" width="26.09765625" style="20" customWidth="1"/>
    <col min="11277" max="11277" width="8.09765625" style="20" customWidth="1"/>
    <col min="11278" max="11278" width="7" style="20" bestFit="1" customWidth="1"/>
    <col min="11279" max="11279" width="8.796875" style="20"/>
    <col min="11280" max="11280" width="7.59765625" style="20" customWidth="1"/>
    <col min="11281" max="11281" width="5.09765625" style="20" customWidth="1"/>
    <col min="11282" max="11521" width="8.796875" style="20"/>
    <col min="11522" max="11522" width="3.59765625" style="20" customWidth="1"/>
    <col min="11523" max="11523" width="8.09765625" style="20" customWidth="1"/>
    <col min="11524" max="11524" width="5.69921875" style="20" customWidth="1"/>
    <col min="11525" max="11530" width="6.09765625" style="20" customWidth="1"/>
    <col min="11531" max="11531" width="30.09765625" style="20" customWidth="1"/>
    <col min="11532" max="11532" width="26.09765625" style="20" customWidth="1"/>
    <col min="11533" max="11533" width="8.09765625" style="20" customWidth="1"/>
    <col min="11534" max="11534" width="7" style="20" bestFit="1" customWidth="1"/>
    <col min="11535" max="11535" width="8.796875" style="20"/>
    <col min="11536" max="11536" width="7.59765625" style="20" customWidth="1"/>
    <col min="11537" max="11537" width="5.09765625" style="20" customWidth="1"/>
    <col min="11538" max="11777" width="8.796875" style="20"/>
    <col min="11778" max="11778" width="3.59765625" style="20" customWidth="1"/>
    <col min="11779" max="11779" width="8.09765625" style="20" customWidth="1"/>
    <col min="11780" max="11780" width="5.69921875" style="20" customWidth="1"/>
    <col min="11781" max="11786" width="6.09765625" style="20" customWidth="1"/>
    <col min="11787" max="11787" width="30.09765625" style="20" customWidth="1"/>
    <col min="11788" max="11788" width="26.09765625" style="20" customWidth="1"/>
    <col min="11789" max="11789" width="8.09765625" style="20" customWidth="1"/>
    <col min="11790" max="11790" width="7" style="20" bestFit="1" customWidth="1"/>
    <col min="11791" max="11791" width="8.796875" style="20"/>
    <col min="11792" max="11792" width="7.59765625" style="20" customWidth="1"/>
    <col min="11793" max="11793" width="5.09765625" style="20" customWidth="1"/>
    <col min="11794" max="12033" width="8.796875" style="20"/>
    <col min="12034" max="12034" width="3.59765625" style="20" customWidth="1"/>
    <col min="12035" max="12035" width="8.09765625" style="20" customWidth="1"/>
    <col min="12036" max="12036" width="5.69921875" style="20" customWidth="1"/>
    <col min="12037" max="12042" width="6.09765625" style="20" customWidth="1"/>
    <col min="12043" max="12043" width="30.09765625" style="20" customWidth="1"/>
    <col min="12044" max="12044" width="26.09765625" style="20" customWidth="1"/>
    <col min="12045" max="12045" width="8.09765625" style="20" customWidth="1"/>
    <col min="12046" max="12046" width="7" style="20" bestFit="1" customWidth="1"/>
    <col min="12047" max="12047" width="8.796875" style="20"/>
    <col min="12048" max="12048" width="7.59765625" style="20" customWidth="1"/>
    <col min="12049" max="12049" width="5.09765625" style="20" customWidth="1"/>
    <col min="12050" max="12289" width="8.796875" style="20"/>
    <col min="12290" max="12290" width="3.59765625" style="20" customWidth="1"/>
    <col min="12291" max="12291" width="8.09765625" style="20" customWidth="1"/>
    <col min="12292" max="12292" width="5.69921875" style="20" customWidth="1"/>
    <col min="12293" max="12298" width="6.09765625" style="20" customWidth="1"/>
    <col min="12299" max="12299" width="30.09765625" style="20" customWidth="1"/>
    <col min="12300" max="12300" width="26.09765625" style="20" customWidth="1"/>
    <col min="12301" max="12301" width="8.09765625" style="20" customWidth="1"/>
    <col min="12302" max="12302" width="7" style="20" bestFit="1" customWidth="1"/>
    <col min="12303" max="12303" width="8.796875" style="20"/>
    <col min="12304" max="12304" width="7.59765625" style="20" customWidth="1"/>
    <col min="12305" max="12305" width="5.09765625" style="20" customWidth="1"/>
    <col min="12306" max="12545" width="8.796875" style="20"/>
    <col min="12546" max="12546" width="3.59765625" style="20" customWidth="1"/>
    <col min="12547" max="12547" width="8.09765625" style="20" customWidth="1"/>
    <col min="12548" max="12548" width="5.69921875" style="20" customWidth="1"/>
    <col min="12549" max="12554" width="6.09765625" style="20" customWidth="1"/>
    <col min="12555" max="12555" width="30.09765625" style="20" customWidth="1"/>
    <col min="12556" max="12556" width="26.09765625" style="20" customWidth="1"/>
    <col min="12557" max="12557" width="8.09765625" style="20" customWidth="1"/>
    <col min="12558" max="12558" width="7" style="20" bestFit="1" customWidth="1"/>
    <col min="12559" max="12559" width="8.796875" style="20"/>
    <col min="12560" max="12560" width="7.59765625" style="20" customWidth="1"/>
    <col min="12561" max="12561" width="5.09765625" style="20" customWidth="1"/>
    <col min="12562" max="12801" width="8.796875" style="20"/>
    <col min="12802" max="12802" width="3.59765625" style="20" customWidth="1"/>
    <col min="12803" max="12803" width="8.09765625" style="20" customWidth="1"/>
    <col min="12804" max="12804" width="5.69921875" style="20" customWidth="1"/>
    <col min="12805" max="12810" width="6.09765625" style="20" customWidth="1"/>
    <col min="12811" max="12811" width="30.09765625" style="20" customWidth="1"/>
    <col min="12812" max="12812" width="26.09765625" style="20" customWidth="1"/>
    <col min="12813" max="12813" width="8.09765625" style="20" customWidth="1"/>
    <col min="12814" max="12814" width="7" style="20" bestFit="1" customWidth="1"/>
    <col min="12815" max="12815" width="8.796875" style="20"/>
    <col min="12816" max="12816" width="7.59765625" style="20" customWidth="1"/>
    <col min="12817" max="12817" width="5.09765625" style="20" customWidth="1"/>
    <col min="12818" max="13057" width="8.796875" style="20"/>
    <col min="13058" max="13058" width="3.59765625" style="20" customWidth="1"/>
    <col min="13059" max="13059" width="8.09765625" style="20" customWidth="1"/>
    <col min="13060" max="13060" width="5.69921875" style="20" customWidth="1"/>
    <col min="13061" max="13066" width="6.09765625" style="20" customWidth="1"/>
    <col min="13067" max="13067" width="30.09765625" style="20" customWidth="1"/>
    <col min="13068" max="13068" width="26.09765625" style="20" customWidth="1"/>
    <col min="13069" max="13069" width="8.09765625" style="20" customWidth="1"/>
    <col min="13070" max="13070" width="7" style="20" bestFit="1" customWidth="1"/>
    <col min="13071" max="13071" width="8.796875" style="20"/>
    <col min="13072" max="13072" width="7.59765625" style="20" customWidth="1"/>
    <col min="13073" max="13073" width="5.09765625" style="20" customWidth="1"/>
    <col min="13074" max="13313" width="8.796875" style="20"/>
    <col min="13314" max="13314" width="3.59765625" style="20" customWidth="1"/>
    <col min="13315" max="13315" width="8.09765625" style="20" customWidth="1"/>
    <col min="13316" max="13316" width="5.69921875" style="20" customWidth="1"/>
    <col min="13317" max="13322" width="6.09765625" style="20" customWidth="1"/>
    <col min="13323" max="13323" width="30.09765625" style="20" customWidth="1"/>
    <col min="13324" max="13324" width="26.09765625" style="20" customWidth="1"/>
    <col min="13325" max="13325" width="8.09765625" style="20" customWidth="1"/>
    <col min="13326" max="13326" width="7" style="20" bestFit="1" customWidth="1"/>
    <col min="13327" max="13327" width="8.796875" style="20"/>
    <col min="13328" max="13328" width="7.59765625" style="20" customWidth="1"/>
    <col min="13329" max="13329" width="5.09765625" style="20" customWidth="1"/>
    <col min="13330" max="13569" width="8.796875" style="20"/>
    <col min="13570" max="13570" width="3.59765625" style="20" customWidth="1"/>
    <col min="13571" max="13571" width="8.09765625" style="20" customWidth="1"/>
    <col min="13572" max="13572" width="5.69921875" style="20" customWidth="1"/>
    <col min="13573" max="13578" width="6.09765625" style="20" customWidth="1"/>
    <col min="13579" max="13579" width="30.09765625" style="20" customWidth="1"/>
    <col min="13580" max="13580" width="26.09765625" style="20" customWidth="1"/>
    <col min="13581" max="13581" width="8.09765625" style="20" customWidth="1"/>
    <col min="13582" max="13582" width="7" style="20" bestFit="1" customWidth="1"/>
    <col min="13583" max="13583" width="8.796875" style="20"/>
    <col min="13584" max="13584" width="7.59765625" style="20" customWidth="1"/>
    <col min="13585" max="13585" width="5.09765625" style="20" customWidth="1"/>
    <col min="13586" max="13825" width="8.796875" style="20"/>
    <col min="13826" max="13826" width="3.59765625" style="20" customWidth="1"/>
    <col min="13827" max="13827" width="8.09765625" style="20" customWidth="1"/>
    <col min="13828" max="13828" width="5.69921875" style="20" customWidth="1"/>
    <col min="13829" max="13834" width="6.09765625" style="20" customWidth="1"/>
    <col min="13835" max="13835" width="30.09765625" style="20" customWidth="1"/>
    <col min="13836" max="13836" width="26.09765625" style="20" customWidth="1"/>
    <col min="13837" max="13837" width="8.09765625" style="20" customWidth="1"/>
    <col min="13838" max="13838" width="7" style="20" bestFit="1" customWidth="1"/>
    <col min="13839" max="13839" width="8.796875" style="20"/>
    <col min="13840" max="13840" width="7.59765625" style="20" customWidth="1"/>
    <col min="13841" max="13841" width="5.09765625" style="20" customWidth="1"/>
    <col min="13842" max="14081" width="8.796875" style="20"/>
    <col min="14082" max="14082" width="3.59765625" style="20" customWidth="1"/>
    <col min="14083" max="14083" width="8.09765625" style="20" customWidth="1"/>
    <col min="14084" max="14084" width="5.69921875" style="20" customWidth="1"/>
    <col min="14085" max="14090" width="6.09765625" style="20" customWidth="1"/>
    <col min="14091" max="14091" width="30.09765625" style="20" customWidth="1"/>
    <col min="14092" max="14092" width="26.09765625" style="20" customWidth="1"/>
    <col min="14093" max="14093" width="8.09765625" style="20" customWidth="1"/>
    <col min="14094" max="14094" width="7" style="20" bestFit="1" customWidth="1"/>
    <col min="14095" max="14095" width="8.796875" style="20"/>
    <col min="14096" max="14096" width="7.59765625" style="20" customWidth="1"/>
    <col min="14097" max="14097" width="5.09765625" style="20" customWidth="1"/>
    <col min="14098" max="14337" width="8.796875" style="20"/>
    <col min="14338" max="14338" width="3.59765625" style="20" customWidth="1"/>
    <col min="14339" max="14339" width="8.09765625" style="20" customWidth="1"/>
    <col min="14340" max="14340" width="5.69921875" style="20" customWidth="1"/>
    <col min="14341" max="14346" width="6.09765625" style="20" customWidth="1"/>
    <col min="14347" max="14347" width="30.09765625" style="20" customWidth="1"/>
    <col min="14348" max="14348" width="26.09765625" style="20" customWidth="1"/>
    <col min="14349" max="14349" width="8.09765625" style="20" customWidth="1"/>
    <col min="14350" max="14350" width="7" style="20" bestFit="1" customWidth="1"/>
    <col min="14351" max="14351" width="8.796875" style="20"/>
    <col min="14352" max="14352" width="7.59765625" style="20" customWidth="1"/>
    <col min="14353" max="14353" width="5.09765625" style="20" customWidth="1"/>
    <col min="14354" max="14593" width="8.796875" style="20"/>
    <col min="14594" max="14594" width="3.59765625" style="20" customWidth="1"/>
    <col min="14595" max="14595" width="8.09765625" style="20" customWidth="1"/>
    <col min="14596" max="14596" width="5.69921875" style="20" customWidth="1"/>
    <col min="14597" max="14602" width="6.09765625" style="20" customWidth="1"/>
    <col min="14603" max="14603" width="30.09765625" style="20" customWidth="1"/>
    <col min="14604" max="14604" width="26.09765625" style="20" customWidth="1"/>
    <col min="14605" max="14605" width="8.09765625" style="20" customWidth="1"/>
    <col min="14606" max="14606" width="7" style="20" bestFit="1" customWidth="1"/>
    <col min="14607" max="14607" width="8.796875" style="20"/>
    <col min="14608" max="14608" width="7.59765625" style="20" customWidth="1"/>
    <col min="14609" max="14609" width="5.09765625" style="20" customWidth="1"/>
    <col min="14610" max="14849" width="8.796875" style="20"/>
    <col min="14850" max="14850" width="3.59765625" style="20" customWidth="1"/>
    <col min="14851" max="14851" width="8.09765625" style="20" customWidth="1"/>
    <col min="14852" max="14852" width="5.69921875" style="20" customWidth="1"/>
    <col min="14853" max="14858" width="6.09765625" style="20" customWidth="1"/>
    <col min="14859" max="14859" width="30.09765625" style="20" customWidth="1"/>
    <col min="14860" max="14860" width="26.09765625" style="20" customWidth="1"/>
    <col min="14861" max="14861" width="8.09765625" style="20" customWidth="1"/>
    <col min="14862" max="14862" width="7" style="20" bestFit="1" customWidth="1"/>
    <col min="14863" max="14863" width="8.796875" style="20"/>
    <col min="14864" max="14864" width="7.59765625" style="20" customWidth="1"/>
    <col min="14865" max="14865" width="5.09765625" style="20" customWidth="1"/>
    <col min="14866" max="15105" width="8.796875" style="20"/>
    <col min="15106" max="15106" width="3.59765625" style="20" customWidth="1"/>
    <col min="15107" max="15107" width="8.09765625" style="20" customWidth="1"/>
    <col min="15108" max="15108" width="5.69921875" style="20" customWidth="1"/>
    <col min="15109" max="15114" width="6.09765625" style="20" customWidth="1"/>
    <col min="15115" max="15115" width="30.09765625" style="20" customWidth="1"/>
    <col min="15116" max="15116" width="26.09765625" style="20" customWidth="1"/>
    <col min="15117" max="15117" width="8.09765625" style="20" customWidth="1"/>
    <col min="15118" max="15118" width="7" style="20" bestFit="1" customWidth="1"/>
    <col min="15119" max="15119" width="8.796875" style="20"/>
    <col min="15120" max="15120" width="7.59765625" style="20" customWidth="1"/>
    <col min="15121" max="15121" width="5.09765625" style="20" customWidth="1"/>
    <col min="15122" max="15361" width="8.796875" style="20"/>
    <col min="15362" max="15362" width="3.59765625" style="20" customWidth="1"/>
    <col min="15363" max="15363" width="8.09765625" style="20" customWidth="1"/>
    <col min="15364" max="15364" width="5.69921875" style="20" customWidth="1"/>
    <col min="15365" max="15370" width="6.09765625" style="20" customWidth="1"/>
    <col min="15371" max="15371" width="30.09765625" style="20" customWidth="1"/>
    <col min="15372" max="15372" width="26.09765625" style="20" customWidth="1"/>
    <col min="15373" max="15373" width="8.09765625" style="20" customWidth="1"/>
    <col min="15374" max="15374" width="7" style="20" bestFit="1" customWidth="1"/>
    <col min="15375" max="15375" width="8.796875" style="20"/>
    <col min="15376" max="15376" width="7.59765625" style="20" customWidth="1"/>
    <col min="15377" max="15377" width="5.09765625" style="20" customWidth="1"/>
    <col min="15378" max="15617" width="8.796875" style="20"/>
    <col min="15618" max="15618" width="3.59765625" style="20" customWidth="1"/>
    <col min="15619" max="15619" width="8.09765625" style="20" customWidth="1"/>
    <col min="15620" max="15620" width="5.69921875" style="20" customWidth="1"/>
    <col min="15621" max="15626" width="6.09765625" style="20" customWidth="1"/>
    <col min="15627" max="15627" width="30.09765625" style="20" customWidth="1"/>
    <col min="15628" max="15628" width="26.09765625" style="20" customWidth="1"/>
    <col min="15629" max="15629" width="8.09765625" style="20" customWidth="1"/>
    <col min="15630" max="15630" width="7" style="20" bestFit="1" customWidth="1"/>
    <col min="15631" max="15631" width="8.796875" style="20"/>
    <col min="15632" max="15632" width="7.59765625" style="20" customWidth="1"/>
    <col min="15633" max="15633" width="5.09765625" style="20" customWidth="1"/>
    <col min="15634" max="15873" width="8.796875" style="20"/>
    <col min="15874" max="15874" width="3.59765625" style="20" customWidth="1"/>
    <col min="15875" max="15875" width="8.09765625" style="20" customWidth="1"/>
    <col min="15876" max="15876" width="5.69921875" style="20" customWidth="1"/>
    <col min="15877" max="15882" width="6.09765625" style="20" customWidth="1"/>
    <col min="15883" max="15883" width="30.09765625" style="20" customWidth="1"/>
    <col min="15884" max="15884" width="26.09765625" style="20" customWidth="1"/>
    <col min="15885" max="15885" width="8.09765625" style="20" customWidth="1"/>
    <col min="15886" max="15886" width="7" style="20" bestFit="1" customWidth="1"/>
    <col min="15887" max="15887" width="8.796875" style="20"/>
    <col min="15888" max="15888" width="7.59765625" style="20" customWidth="1"/>
    <col min="15889" max="15889" width="5.09765625" style="20" customWidth="1"/>
    <col min="15890" max="16129" width="8.796875" style="20"/>
    <col min="16130" max="16130" width="3.59765625" style="20" customWidth="1"/>
    <col min="16131" max="16131" width="8.09765625" style="20" customWidth="1"/>
    <col min="16132" max="16132" width="5.69921875" style="20" customWidth="1"/>
    <col min="16133" max="16138" width="6.09765625" style="20" customWidth="1"/>
    <col min="16139" max="16139" width="30.09765625" style="20" customWidth="1"/>
    <col min="16140" max="16140" width="26.09765625" style="20" customWidth="1"/>
    <col min="16141" max="16141" width="8.09765625" style="20" customWidth="1"/>
    <col min="16142" max="16142" width="7" style="20" bestFit="1" customWidth="1"/>
    <col min="16143" max="16143" width="8.796875" style="20"/>
    <col min="16144" max="16144" width="7.59765625" style="20" customWidth="1"/>
    <col min="16145" max="16145" width="5.09765625" style="20" customWidth="1"/>
    <col min="16146" max="16384" width="8.796875" style="20"/>
  </cols>
  <sheetData>
    <row r="1" spans="1:14">
      <c r="A1" s="133" t="s">
        <v>218</v>
      </c>
      <c r="B1" s="69"/>
      <c r="C1" s="70"/>
      <c r="D1" s="71"/>
      <c r="E1" s="71"/>
      <c r="F1" s="71"/>
      <c r="G1" s="71"/>
      <c r="H1" s="71"/>
      <c r="I1" s="71"/>
      <c r="J1" s="71"/>
      <c r="K1" s="71"/>
      <c r="L1" s="71"/>
      <c r="M1" s="72"/>
      <c r="N1" s="73"/>
    </row>
    <row r="2" spans="1:14" s="16" customFormat="1" ht="10.8">
      <c r="A2" s="71"/>
      <c r="B2" s="71"/>
      <c r="C2" s="71"/>
      <c r="D2" s="71"/>
      <c r="E2" s="71"/>
      <c r="F2" s="71"/>
      <c r="G2" s="71"/>
      <c r="H2" s="71"/>
      <c r="I2" s="71"/>
      <c r="J2" s="71"/>
      <c r="K2" s="71"/>
      <c r="L2" s="71"/>
      <c r="M2" s="72"/>
      <c r="N2" s="75"/>
    </row>
    <row r="3" spans="1:14">
      <c r="A3" s="76" t="s">
        <v>42</v>
      </c>
      <c r="B3" s="76"/>
      <c r="C3" s="76"/>
      <c r="D3" s="76"/>
      <c r="E3" s="76"/>
      <c r="F3" s="76"/>
      <c r="G3" s="76"/>
      <c r="H3" s="76"/>
      <c r="I3" s="76"/>
      <c r="J3" s="76"/>
      <c r="K3" s="75"/>
      <c r="L3" s="75"/>
      <c r="M3" s="72"/>
      <c r="N3" s="77"/>
    </row>
    <row r="4" spans="1:14" ht="13.5" customHeight="1">
      <c r="A4" s="189" t="s">
        <v>221</v>
      </c>
      <c r="B4" s="189"/>
      <c r="C4" s="189"/>
      <c r="D4" s="189"/>
      <c r="E4" s="202" t="str">
        <f ca="1">RIGHT(CELL("filename",E4),LEN(CELL("filename",E4))-FIND("]",CELL("filename",E4)))</f>
        <v>U_018</v>
      </c>
      <c r="F4" s="203"/>
      <c r="G4" s="189" t="s">
        <v>222</v>
      </c>
      <c r="H4" s="189"/>
      <c r="I4" s="192" t="str">
        <f ca="1">IFERROR(VLOOKUP($E$4,자산목록!$A$1:$I$844,2,FALSE),"N/A")</f>
        <v>gaia</v>
      </c>
      <c r="J4" s="192"/>
      <c r="K4" s="78"/>
      <c r="L4" s="73"/>
      <c r="M4" s="79"/>
      <c r="N4" s="79"/>
    </row>
    <row r="5" spans="1:14" ht="13.5" customHeight="1">
      <c r="A5" s="189" t="s">
        <v>223</v>
      </c>
      <c r="B5" s="189"/>
      <c r="C5" s="189"/>
      <c r="D5" s="189"/>
      <c r="E5" s="190" t="str">
        <f ca="1">IFERROR(VLOOKUP($E$4,자산목록!$A$1:$I$851,4,FALSE),"N/A") &amp; " " &amp; IFERROR(VLOOKUP($E$4,자산목록!$A$1:$I$851,5,FALSE),"N/A")</f>
        <v>Ubuntu 22.04.3</v>
      </c>
      <c r="F5" s="191"/>
      <c r="G5" s="189" t="s">
        <v>224</v>
      </c>
      <c r="H5" s="189"/>
      <c r="I5" s="192" t="str">
        <f ca="1">IFERROR(VLOOKUP($E$4,자산목록!$A$1:$I$844,3,FALSE),"N/A")</f>
        <v>198.19.178.189</v>
      </c>
      <c r="J5" s="192"/>
      <c r="K5" s="78"/>
      <c r="L5" s="73"/>
      <c r="M5" s="79"/>
      <c r="N5" s="79"/>
    </row>
    <row r="6" spans="1:14" ht="13.5" customHeight="1">
      <c r="A6" s="189" t="s">
        <v>225</v>
      </c>
      <c r="B6" s="189"/>
      <c r="C6" s="189"/>
      <c r="D6" s="189"/>
      <c r="E6" s="190" t="str">
        <f ca="1">IFERROR(VLOOKUP($E$4,자산목록!$A$1:$I$844,6,FALSE),"N/A")</f>
        <v>-</v>
      </c>
      <c r="F6" s="191"/>
      <c r="G6" s="189" t="s">
        <v>226</v>
      </c>
      <c r="H6" s="189"/>
      <c r="I6" s="192" t="str">
        <f ca="1">IFERROR(VLOOKUP($E$4,자산목록!$A$1:$I$844,9,FALSE),"N/A")</f>
        <v>박영규</v>
      </c>
      <c r="J6" s="192"/>
      <c r="K6" s="78"/>
      <c r="L6" s="73"/>
      <c r="M6" s="79"/>
      <c r="N6" s="79"/>
    </row>
    <row r="7" spans="1:14">
      <c r="A7" s="73"/>
      <c r="B7" s="73"/>
      <c r="C7" s="73"/>
      <c r="D7" s="73"/>
      <c r="E7" s="73"/>
      <c r="F7" s="73"/>
      <c r="G7" s="73"/>
      <c r="H7" s="73"/>
      <c r="I7" s="73"/>
      <c r="J7" s="73"/>
      <c r="K7" s="73"/>
      <c r="L7" s="73"/>
      <c r="M7" s="79"/>
      <c r="N7" s="73"/>
    </row>
    <row r="8" spans="1:14">
      <c r="A8" s="75" t="s">
        <v>212</v>
      </c>
      <c r="B8" s="75"/>
      <c r="C8" s="75"/>
      <c r="D8" s="75"/>
      <c r="E8" s="75"/>
      <c r="F8" s="75"/>
      <c r="G8" s="75"/>
      <c r="H8" s="75"/>
      <c r="I8" s="75"/>
      <c r="J8" s="75"/>
      <c r="K8" s="75"/>
      <c r="L8" s="75"/>
      <c r="M8" s="72"/>
      <c r="N8" s="77"/>
    </row>
    <row r="9" spans="1:14">
      <c r="A9" s="76" t="s">
        <v>213</v>
      </c>
      <c r="B9" s="76"/>
      <c r="C9" s="76"/>
      <c r="D9" s="76"/>
      <c r="E9" s="76"/>
      <c r="F9" s="76"/>
      <c r="G9" s="76"/>
      <c r="H9" s="76"/>
      <c r="I9" s="76"/>
      <c r="J9" s="76"/>
      <c r="K9" s="75"/>
      <c r="L9" s="75"/>
      <c r="M9" s="72"/>
      <c r="N9" s="80"/>
    </row>
    <row r="10" spans="1:14" s="38" customFormat="1" ht="13.5" customHeight="1">
      <c r="A10" s="193" t="s">
        <v>10</v>
      </c>
      <c r="B10" s="194"/>
      <c r="C10" s="194"/>
      <c r="D10" s="195"/>
      <c r="E10" s="199" t="s">
        <v>43</v>
      </c>
      <c r="F10" s="200"/>
      <c r="G10" s="201"/>
      <c r="H10" s="199" t="s">
        <v>214</v>
      </c>
      <c r="I10" s="200"/>
      <c r="J10" s="201"/>
      <c r="K10" s="81"/>
      <c r="L10" s="81"/>
      <c r="M10" s="82"/>
      <c r="N10" s="82"/>
    </row>
    <row r="11" spans="1:14" s="38" customFormat="1" ht="13.5" customHeight="1">
      <c r="A11" s="196"/>
      <c r="B11" s="197"/>
      <c r="C11" s="197"/>
      <c r="D11" s="198"/>
      <c r="E11" s="83" t="s">
        <v>39</v>
      </c>
      <c r="F11" s="141" t="s">
        <v>215</v>
      </c>
      <c r="G11" s="141" t="s">
        <v>27</v>
      </c>
      <c r="H11" s="84" t="s">
        <v>39</v>
      </c>
      <c r="I11" s="141" t="s">
        <v>41</v>
      </c>
      <c r="J11" s="85" t="s">
        <v>44</v>
      </c>
      <c r="K11" s="86"/>
      <c r="L11" s="81"/>
      <c r="M11" s="87"/>
      <c r="N11" s="87"/>
    </row>
    <row r="12" spans="1:14" s="38" customFormat="1" ht="10.8">
      <c r="A12" s="88" t="s">
        <v>85</v>
      </c>
      <c r="B12" s="89"/>
      <c r="C12" s="186" t="str">
        <f>VLOOKUP($A12,ChkList!$A$5:$B$44,2,FALSE)</f>
        <v>계정 관리</v>
      </c>
      <c r="D12" s="187"/>
      <c r="E12" s="89">
        <f ca="1">COUNTIF($B$21:INDIRECT(ADDRESS(MATCH("",$B:$B,-1),2,1,1)),$A12&amp;"*")</f>
        <v>5</v>
      </c>
      <c r="F12" s="89">
        <f ca="1">$E12-COUNTIFS($B$21:INDIRECT(ADDRESS(MATCH("",$B:$B,-1),2,1,1)),$A12&amp;"*",$J$21:INDIRECT(ADDRESS(MATCH("",$B:$B,-1),10,1,1)),"N/A")</f>
        <v>5</v>
      </c>
      <c r="G12" s="89">
        <f ca="1">COUNTIFS($B$21:INDIRECT(ADDRESS(MATCH("",$B:$B,-1),2,1,1)),$A12&amp;"*",$J$21:INDIRECT(ADDRESS(MATCH("",$B:$B,-1),10,1,1)),"Y")</f>
        <v>1</v>
      </c>
      <c r="H12" s="89">
        <f ca="1">SUMIF($B$21:INDIRECT(ADDRESS(MATCH("",$B:$B,-1),2,1,1)),$A12&amp;"*",$M$21:INDIRECT(ADDRESS(MATCH("",$B:$B,-1),13,1,1)))</f>
        <v>14</v>
      </c>
      <c r="I12" s="89">
        <f ca="1">SUMIF($B$21:INDIRECT(ADDRESS(MATCH("",$B:$B,-1),2,1,1)),$A12&amp;"*",$N$21:INDIRECT(ADDRESS(MATCH("",$B:$B,-1),14,1,1)))</f>
        <v>3</v>
      </c>
      <c r="J12" s="90">
        <f ca="1">IF(F12=0, "N/A", (I12/H12))</f>
        <v>0.21428571428571427</v>
      </c>
      <c r="K12" s="86"/>
      <c r="L12" s="86"/>
      <c r="M12" s="91"/>
      <c r="N12" s="92"/>
    </row>
    <row r="13" spans="1:14" s="38" customFormat="1" ht="10.8">
      <c r="A13" s="88" t="s">
        <v>86</v>
      </c>
      <c r="B13" s="89"/>
      <c r="C13" s="186" t="str">
        <f>VLOOKUP($A13,ChkList!$A$5:$B$44,2,FALSE)</f>
        <v>파일 및 디렉토리 관리</v>
      </c>
      <c r="D13" s="187"/>
      <c r="E13" s="89">
        <f ca="1">COUNTIF($B$21:INDIRECT(ADDRESS(MATCH("",$B:$B,-1),2,1,1)),$A13&amp;"*")</f>
        <v>14</v>
      </c>
      <c r="F13" s="89">
        <f ca="1">$E13-COUNTIFS($B$21:INDIRECT(ADDRESS(MATCH("",$B:$B,-1),2,1,1)),$A13&amp;"*",$J$21:INDIRECT(ADDRESS(MATCH("",$B:$B,-1),10,1,1)),"N/A")</f>
        <v>14</v>
      </c>
      <c r="G13" s="89">
        <f ca="1">COUNTIFS($B$21:INDIRECT(ADDRESS(MATCH("",$B:$B,-1),2,1,1)),$A13&amp;"*",$J$21:INDIRECT(ADDRESS(MATCH("",$B:$B,-1),10,1,1)),"Y")</f>
        <v>12</v>
      </c>
      <c r="H13" s="89">
        <f ca="1">SUMIF($B$21:INDIRECT(ADDRESS(MATCH("",$B:$B,-1),2,1,1)),$A13&amp;"*",$M$21:INDIRECT(ADDRESS(MATCH("",$B:$B,-1),13,1,1)))</f>
        <v>42</v>
      </c>
      <c r="I13" s="89">
        <f ca="1">SUMIF($B$21:INDIRECT(ADDRESS(MATCH("",$B:$B,-1),2,1,1)),$A13&amp;"*",$N$21:INDIRECT(ADDRESS(MATCH("",$B:$B,-1),14,1,1)))</f>
        <v>36</v>
      </c>
      <c r="J13" s="90">
        <f ca="1">IF(F13=0, "N/A", (I13/H13))</f>
        <v>0.8571428571428571</v>
      </c>
      <c r="K13" s="86"/>
      <c r="L13" s="86"/>
      <c r="M13" s="91"/>
      <c r="N13" s="92"/>
    </row>
    <row r="14" spans="1:14" s="38" customFormat="1" ht="10.8">
      <c r="A14" s="88" t="s">
        <v>87</v>
      </c>
      <c r="B14" s="89"/>
      <c r="C14" s="186" t="str">
        <f>VLOOKUP($A14,ChkList!$A$5:$B$44,2,FALSE)</f>
        <v>서비스 관리</v>
      </c>
      <c r="D14" s="187"/>
      <c r="E14" s="89">
        <f ca="1">COUNTIF($B$21:INDIRECT(ADDRESS(MATCH("",$B:$B,-1),2,1,1)),$A14&amp;"*")</f>
        <v>15</v>
      </c>
      <c r="F14" s="89">
        <f ca="1">$E14-COUNTIFS($B$21:INDIRECT(ADDRESS(MATCH("",$B:$B,-1),2,1,1)),$A14&amp;"*",$J$21:INDIRECT(ADDRESS(MATCH("",$B:$B,-1),10,1,1)),"N/A")</f>
        <v>15</v>
      </c>
      <c r="G14" s="89">
        <f ca="1">COUNTIFS($B$21:INDIRECT(ADDRESS(MATCH("",$B:$B,-1),2,1,1)),$A14&amp;"*",$J$21:INDIRECT(ADDRESS(MATCH("",$B:$B,-1),10,1,1)),"Y")</f>
        <v>15</v>
      </c>
      <c r="H14" s="89">
        <f ca="1">SUMIF($B$21:INDIRECT(ADDRESS(MATCH("",$B:$B,-1),2,1,1)),$A14&amp;"*",$M$21:INDIRECT(ADDRESS(MATCH("",$B:$B,-1),13,1,1)))</f>
        <v>45</v>
      </c>
      <c r="I14" s="89">
        <f ca="1">SUMIF($B$21:INDIRECT(ADDRESS(MATCH("",$B:$B,-1),2,1,1)),$A14&amp;"*",$N$21:INDIRECT(ADDRESS(MATCH("",$B:$B,-1),14,1,1)))</f>
        <v>45</v>
      </c>
      <c r="J14" s="90">
        <f ca="1">IF(F14=0, "N/A", (I14/H14))</f>
        <v>1</v>
      </c>
      <c r="K14" s="86"/>
      <c r="L14" s="86"/>
      <c r="M14" s="91"/>
      <c r="N14" s="92"/>
    </row>
    <row r="15" spans="1:14" s="38" customFormat="1" ht="11.4" thickBot="1">
      <c r="A15" s="88" t="s">
        <v>88</v>
      </c>
      <c r="B15" s="89"/>
      <c r="C15" s="186" t="str">
        <f>VLOOKUP($A15,ChkList!$A$5:$B$44,2,FALSE)</f>
        <v>패치 및 로그관리</v>
      </c>
      <c r="D15" s="187"/>
      <c r="E15" s="89">
        <f ca="1">COUNTIF($B$21:INDIRECT(ADDRESS(MATCH("",$B:$B,-1),2,1,1)),$A15&amp;"*")</f>
        <v>2</v>
      </c>
      <c r="F15" s="89">
        <f ca="1">$E15-COUNTIFS($B$21:INDIRECT(ADDRESS(MATCH("",$B:$B,-1),2,1,1)),$A15&amp;"*",$J$21:INDIRECT(ADDRESS(MATCH("",$B:$B,-1),10,1,1)),"N/A")</f>
        <v>2</v>
      </c>
      <c r="G15" s="89">
        <f ca="1">COUNTIFS($B$21:INDIRECT(ADDRESS(MATCH("",$B:$B,-1),2,1,1)),$A15&amp;"*",$J$21:INDIRECT(ADDRESS(MATCH("",$B:$B,-1),10,1,1)),"Y")</f>
        <v>0</v>
      </c>
      <c r="H15" s="89">
        <f ca="1">SUMIF($B$21:INDIRECT(ADDRESS(MATCH("",$B:$B,-1),2,1,1)),$A15&amp;"*",$M$21:INDIRECT(ADDRESS(MATCH("",$B:$B,-1),13,1,1)))</f>
        <v>6</v>
      </c>
      <c r="I15" s="89">
        <f ca="1">SUMIF($B$21:INDIRECT(ADDRESS(MATCH("",$B:$B,-1),2,1,1)),$A15&amp;"*",$N$21:INDIRECT(ADDRESS(MATCH("",$B:$B,-1),14,1,1)))</f>
        <v>0</v>
      </c>
      <c r="J15" s="90">
        <f ca="1">IF(F15=0, "N/A", (I15/H15))</f>
        <v>0</v>
      </c>
      <c r="K15" s="86"/>
      <c r="L15" s="86"/>
      <c r="M15" s="91"/>
      <c r="N15" s="92"/>
    </row>
    <row r="16" spans="1:14" s="38" customFormat="1" ht="15.75" customHeight="1" thickTop="1">
      <c r="A16" s="93" t="s">
        <v>45</v>
      </c>
      <c r="B16" s="94"/>
      <c r="C16" s="94"/>
      <c r="D16" s="94"/>
      <c r="E16" s="95">
        <f ca="1">SUM(E12:E15)</f>
        <v>36</v>
      </c>
      <c r="F16" s="95">
        <f ca="1">SUM(F12:F15)</f>
        <v>36</v>
      </c>
      <c r="G16" s="95">
        <f ca="1">SUM(G12:G15)</f>
        <v>28</v>
      </c>
      <c r="H16" s="95">
        <f ca="1">SUM(H12:H15)</f>
        <v>107</v>
      </c>
      <c r="I16" s="95">
        <f ca="1">SUM(I12:I15)</f>
        <v>84</v>
      </c>
      <c r="J16" s="96">
        <f ca="1">IF(H16=0,"N/A",I16/H16)</f>
        <v>0.78504672897196259</v>
      </c>
      <c r="K16" s="86"/>
      <c r="L16" s="81"/>
      <c r="M16" s="97"/>
      <c r="N16" s="97"/>
    </row>
    <row r="17" spans="1:14">
      <c r="A17" s="98"/>
      <c r="B17" s="98"/>
      <c r="C17" s="98"/>
      <c r="D17" s="98"/>
      <c r="E17" s="98"/>
      <c r="F17" s="98"/>
      <c r="G17" s="98"/>
      <c r="H17" s="98"/>
      <c r="I17" s="98"/>
      <c r="J17" s="98"/>
      <c r="K17" s="75"/>
      <c r="L17" s="75"/>
      <c r="M17" s="72"/>
      <c r="N17" s="77"/>
    </row>
    <row r="18" spans="1:14">
      <c r="A18" s="75" t="s">
        <v>216</v>
      </c>
      <c r="B18" s="75"/>
      <c r="C18" s="75"/>
      <c r="D18" s="75"/>
      <c r="E18" s="75"/>
      <c r="F18" s="75"/>
      <c r="G18" s="75"/>
      <c r="H18" s="75"/>
      <c r="I18" s="75"/>
      <c r="J18" s="75"/>
      <c r="K18" s="75"/>
      <c r="L18" s="99" t="s">
        <v>46</v>
      </c>
      <c r="M18" s="8" t="s">
        <v>47</v>
      </c>
      <c r="N18" s="73"/>
    </row>
    <row r="19" spans="1:14" ht="15.75" customHeight="1">
      <c r="A19" s="188" t="s">
        <v>10</v>
      </c>
      <c r="B19" s="188"/>
      <c r="C19" s="188"/>
      <c r="D19" s="188" t="s">
        <v>217</v>
      </c>
      <c r="E19" s="188"/>
      <c r="F19" s="188"/>
      <c r="G19" s="188"/>
      <c r="H19" s="188"/>
      <c r="I19" s="142" t="s">
        <v>48</v>
      </c>
      <c r="J19" s="143" t="s">
        <v>211</v>
      </c>
      <c r="K19" s="142" t="s">
        <v>132</v>
      </c>
      <c r="L19" s="142" t="s">
        <v>133</v>
      </c>
      <c r="M19" s="100" t="s">
        <v>30</v>
      </c>
      <c r="N19" s="100" t="s">
        <v>31</v>
      </c>
    </row>
    <row r="20" spans="1:14" ht="12" customHeight="1">
      <c r="A20" s="101" t="str">
        <f>$A$12</f>
        <v>U1</v>
      </c>
      <c r="B20" s="102"/>
      <c r="C20" s="102" t="str">
        <f>VLOOKUP($A12,ChkList!$A$5:$B$44,2,FALSE)</f>
        <v>계정 관리</v>
      </c>
      <c r="D20" s="103"/>
      <c r="E20" s="103"/>
      <c r="F20" s="103"/>
      <c r="G20" s="103"/>
      <c r="H20" s="103"/>
      <c r="I20" s="103"/>
      <c r="J20" s="103"/>
      <c r="K20" s="103"/>
      <c r="L20" s="104"/>
      <c r="M20" s="105"/>
      <c r="N20" s="106"/>
    </row>
    <row r="21" spans="1:14" ht="86.4">
      <c r="A21" s="107"/>
      <c r="B21" s="140" t="s">
        <v>93</v>
      </c>
      <c r="C21" s="106" t="str">
        <f>ChkList!$B6</f>
        <v>U-01</v>
      </c>
      <c r="D21" s="182" t="str">
        <f>ChkList!$C6</f>
        <v>root 계정 원격 접속 제한</v>
      </c>
      <c r="E21" s="182"/>
      <c r="F21" s="182"/>
      <c r="G21" s="182"/>
      <c r="H21" s="182"/>
      <c r="I21" s="106" t="str">
        <f>ChkList!$D6</f>
        <v>H</v>
      </c>
      <c r="J21" s="129" t="str">
        <f>IF(IFERROR(FIND("[양호]",LEFT(K21,5)),0),"Y",IF(IFERROR(FIND("[취약]",LEFT(K21,5)),0),"N",IF(IFERROR(FIND("[N/A]",LEFT(K21,5)),0),"N/A","인터뷰")))</f>
        <v>N</v>
      </c>
      <c r="K21" s="150" t="s">
        <v>376</v>
      </c>
      <c r="L21" s="108" t="str">
        <f>IF(J21="N",ChkList!G6,"")</f>
        <v>[Telnet]
1. “/etc/securetty” 파일에서 pts/0 ~ pts/x 설정 제거 또는, 주석 처리
[SSH]
1. vi 편집기를 이용하여 /etc/ssh/sshd_config 파일을 연 후
# vi /etc/ssh/sshd_config
2. 아래와 같이 설정 변경
PermitRootLogin no</v>
      </c>
      <c r="M21" s="105">
        <f>IF($J21="N/A",0,VLOOKUP($I21,ChkList!$A$47:$B$49,2,FALSE))*1</f>
        <v>3</v>
      </c>
      <c r="N21" s="106">
        <f>IFERROR(VLOOKUP($I21,ChkList!$A$47:$B$49,2,FALSE)*VLOOKUP($J21,ChkList!$A$52:$B$54,2,FALSE),0)</f>
        <v>0</v>
      </c>
    </row>
    <row r="22" spans="1:14" ht="409.6">
      <c r="A22" s="107"/>
      <c r="B22" s="140" t="s">
        <v>94</v>
      </c>
      <c r="C22" s="106" t="str">
        <f>ChkList!$B7</f>
        <v>U-02</v>
      </c>
      <c r="D22" s="182" t="str">
        <f>ChkList!$C7</f>
        <v>패스워드 복잡성 설정</v>
      </c>
      <c r="E22" s="182"/>
      <c r="F22" s="182"/>
      <c r="G22" s="182"/>
      <c r="H22" s="182"/>
      <c r="I22" s="106" t="str">
        <f>ChkList!$D7</f>
        <v>H</v>
      </c>
      <c r="J22" s="129" t="str">
        <f>IF(IFERROR(FIND("[양호]",LEFT(K22,5)),0),"Y",IF(IFERROR(FIND("[취약]",LEFT(K22,5)),0),"N",IF(IFERROR(FIND("[N/A]",LEFT(K22,5)),0),"N/A","인터뷰")))</f>
        <v>N</v>
      </c>
      <c r="K22" s="149" t="s">
        <v>377</v>
      </c>
      <c r="L22" s="108" t="str">
        <f>IF(J22="N",ChkList!G7,"")</f>
        <v>[CentOS 7이상]
# vi /etc/pam.d/system-auth
password    requisite     pam_pwquality.so try_first_pass enforce_for_root retry=5 type= minlen=9 lcredit=-1 
ucredit=-1 dcredit=-1 ocredit=-1
[CentOS 6이하]
# vi /etc/pam.d/system-auth
password    requisite     pam_cracklib.so try_first_pass enforce_for_root retry=5 type= minlen=9 lcredit=-1 
ucredit=-1 dcredit=-1 ocredit=-1
[Ubuntu, Debian]
1. libpam-pwquality 설치
   # apt -y install libpam-pwquality
2. vi 편집기를 이용하여 설정 파일을 연 후
   # vi /etc/pam.d/common-password
3. pam_pwquality.so 부분을 아래와 같이 설정(예시)
   password   requisite    pam_pwquality.so    enforce_for_root    retry=3    minlen=9 dcredit=-1 ucredit=-1 lcredit=-1 ocredit=-1
※패스워드 복잡성 설정은 Debian 계열의 경우 common-password 파일 또는 pwquality.conf 파일, RedHat 계열의 경우 system-auth 파일 또는 pwquality.conf 파일 둘 중 한 곳에만 적용하면 되며, enforce_for_root 설정은 system-auth 파일에 적용해야 함
***설정 시 모듈이 있는지 확인 필요***
[일반적으로 권장하는 패스워드 설정]
1. 패스워드의 길이는 최소 9자 이상으로 설정
2. 영문(대문자, 소문자), 숫자, 특수문자를 혼합하여 패스워드 설정
3. 패스워드는 주기적으로 변경하고, 재사용 금지
4. 사전에 있는 단어나 누구나 유추 가능한 간단한 패스워드 사용 금지</v>
      </c>
      <c r="M22" s="105">
        <f>IF($J22="N/A",0,VLOOKUP($I22,ChkList!$A$47:$B$49,2,FALSE))*1</f>
        <v>3</v>
      </c>
      <c r="N22" s="106">
        <f>IFERROR(VLOOKUP($I22,ChkList!$A$47:$B$49,2,FALSE)*VLOOKUP($J22,ChkList!$A$52:$B$54,2,FALSE),0)</f>
        <v>0</v>
      </c>
    </row>
    <row r="23" spans="1:14" ht="192">
      <c r="A23" s="107"/>
      <c r="B23" s="140" t="s">
        <v>95</v>
      </c>
      <c r="C23" s="106" t="str">
        <f>ChkList!$B8</f>
        <v>U-03</v>
      </c>
      <c r="D23" s="182" t="str">
        <f>ChkList!$C8</f>
        <v>계정 잠금 임계값 설정</v>
      </c>
      <c r="E23" s="182"/>
      <c r="F23" s="182"/>
      <c r="G23" s="182"/>
      <c r="H23" s="182"/>
      <c r="I23" s="106" t="str">
        <f>ChkList!$D8</f>
        <v>H</v>
      </c>
      <c r="J23" s="129" t="str">
        <f t="shared" ref="J23:J56" si="0">IF(IFERROR(FIND("[양호]",LEFT(K23,5)),0),"Y",IF(IFERROR(FIND("[취약]",LEFT(K23,5)),0),"N",IF(IFERROR(FIND("[N/A]",LEFT(K23,5)),0),"N/A","인터뷰")))</f>
        <v>N</v>
      </c>
      <c r="K23" s="149" t="s">
        <v>378</v>
      </c>
      <c r="L23" s="108" t="str">
        <f>IF(J23="N",ChkList!G8,"")</f>
        <v>[CentOS]
  # vi /etc/pam.d/system-auth
  (*첫번째 단락 2번째줄)
   auth required pam_tally2.so deny=5 no_magic_root
  (*두번째 단락 2번째줄)
   account required pam_tally2.so
  # vi /etc/pam.d/password-auth
  (*첫번째 단락 2번째줄)
   auth required pam_tally2.so deny=5 onerr=fail
  (*두번째 단락 2번째줄)
   account required pam_tally2.so
[Ubuntu]
  # vi /etc/pam.d/common-auth
  (*첫번째 단락 1번째줄)
   auth required pam_tally2.so deny=5</v>
      </c>
      <c r="M23" s="105">
        <f>IF($J23="N/A",0,VLOOKUP($I23,ChkList!$A$47:$B$49,2,FALSE))*1</f>
        <v>3</v>
      </c>
      <c r="N23" s="106">
        <f>IFERROR(VLOOKUP($I23,ChkList!$A$47:$B$49,2,FALSE)*VLOOKUP($J23,ChkList!$A$52:$B$54,2,FALSE),0)</f>
        <v>0</v>
      </c>
    </row>
    <row r="24" spans="1:14" ht="124.8">
      <c r="A24" s="107"/>
      <c r="B24" s="140" t="s">
        <v>96</v>
      </c>
      <c r="C24" s="106" t="str">
        <f>ChkList!$B9</f>
        <v>U-04</v>
      </c>
      <c r="D24" s="182" t="str">
        <f>ChkList!$C9</f>
        <v>패스워드 최대 사용 기간 설정</v>
      </c>
      <c r="E24" s="182"/>
      <c r="F24" s="182"/>
      <c r="G24" s="182"/>
      <c r="H24" s="182"/>
      <c r="I24" s="106" t="str">
        <f>ChkList!$D9</f>
        <v>M</v>
      </c>
      <c r="J24" s="129" t="str">
        <f t="shared" si="0"/>
        <v>N</v>
      </c>
      <c r="K24" s="149" t="s">
        <v>379</v>
      </c>
      <c r="L24" s="108" t="str">
        <f>IF(J24="N",ChkList!G9,"")</f>
        <v>(User 생성시 적용)
  # vi /etc/login.defs
  PASS_MAX_DAYS      90
(현재 User의 최대 사용기간 적용)
  chage –M 90 &lt;계정명&gt;</v>
      </c>
      <c r="M24" s="105">
        <f>IF($J24="N/A",0,VLOOKUP($I24,ChkList!$A$47:$B$49,2,FALSE))*1</f>
        <v>2</v>
      </c>
      <c r="N24" s="106">
        <f>IFERROR(VLOOKUP($I24,ChkList!$A$47:$B$49,2,FALSE)*VLOOKUP($J24,ChkList!$A$52:$B$54,2,FALSE),0)</f>
        <v>0</v>
      </c>
    </row>
    <row r="25" spans="1:14" ht="86.4">
      <c r="A25" s="107"/>
      <c r="B25" s="140" t="s">
        <v>165</v>
      </c>
      <c r="C25" s="106" t="str">
        <f>ChkList!$B10</f>
        <v>U-05</v>
      </c>
      <c r="D25" s="182" t="str">
        <f>ChkList!$C10</f>
        <v>패스워드 파일 보호</v>
      </c>
      <c r="E25" s="182"/>
      <c r="F25" s="182"/>
      <c r="G25" s="182"/>
      <c r="H25" s="182"/>
      <c r="I25" s="106" t="str">
        <f>ChkList!$D10</f>
        <v>H</v>
      </c>
      <c r="J25" s="129" t="str">
        <f t="shared" si="0"/>
        <v>Y</v>
      </c>
      <c r="K25" s="149" t="s">
        <v>398</v>
      </c>
      <c r="L25" s="108" t="str">
        <f>IF(J25="N",ChkList!G10,"")</f>
        <v/>
      </c>
      <c r="M25" s="105">
        <f>IF($J25="N/A",0,VLOOKUP($I25,ChkList!$A$47:$B$49,2,FALSE))*1</f>
        <v>3</v>
      </c>
      <c r="N25" s="106">
        <f>IFERROR(VLOOKUP($I25,ChkList!$A$47:$B$49,2,FALSE)*VLOOKUP($J25,ChkList!$A$52:$B$54,2,FALSE),0)</f>
        <v>3</v>
      </c>
    </row>
    <row r="26" spans="1:14">
      <c r="A26" s="101" t="str">
        <f>$A$13</f>
        <v>U2</v>
      </c>
      <c r="B26" s="102"/>
      <c r="C26" s="102" t="str">
        <f>VLOOKUP($A13,ChkList!$A$5:$B$44,2,FALSE)</f>
        <v>파일 및 디렉토리 관리</v>
      </c>
      <c r="D26" s="103"/>
      <c r="E26" s="103"/>
      <c r="F26" s="103"/>
      <c r="G26" s="103"/>
      <c r="H26" s="103"/>
      <c r="I26" s="103"/>
      <c r="J26" s="130"/>
      <c r="K26" s="147"/>
      <c r="L26" s="104"/>
      <c r="M26" s="105"/>
      <c r="N26" s="106"/>
    </row>
    <row r="27" spans="1:14" ht="57.6">
      <c r="A27" s="107"/>
      <c r="B27" s="140" t="s">
        <v>97</v>
      </c>
      <c r="C27" s="106" t="str">
        <f>ChkList!$B12</f>
        <v>U-06</v>
      </c>
      <c r="D27" s="182" t="str">
        <f>ChkList!$C12</f>
        <v>root 홈, 패스 디렉터리 권한 및 패스 설정</v>
      </c>
      <c r="E27" s="182"/>
      <c r="F27" s="182"/>
      <c r="G27" s="182"/>
      <c r="H27" s="182"/>
      <c r="I27" s="106" t="str">
        <f>ChkList!$D12</f>
        <v>H</v>
      </c>
      <c r="J27" s="129" t="str">
        <f t="shared" si="0"/>
        <v>Y</v>
      </c>
      <c r="K27" s="149" t="s">
        <v>381</v>
      </c>
      <c r="L27" s="108" t="str">
        <f>IF(J27="N",ChkList!G12,"")</f>
        <v/>
      </c>
      <c r="M27" s="105">
        <f>IF($J27="N/A",0,VLOOKUP($I27,ChkList!$A$47:$B$49,2,FALSE))*1</f>
        <v>3</v>
      </c>
      <c r="N27" s="106">
        <f>IFERROR(VLOOKUP($I27,ChkList!$A$47:$B$49,2,FALSE)*VLOOKUP($J27,ChkList!$A$52:$B$54,2,FALSE),0)</f>
        <v>3</v>
      </c>
    </row>
    <row r="28" spans="1:14" ht="86.4">
      <c r="A28" s="107"/>
      <c r="B28" s="140" t="s">
        <v>98</v>
      </c>
      <c r="C28" s="106" t="str">
        <f>ChkList!$B13</f>
        <v>U-07</v>
      </c>
      <c r="D28" s="182" t="str">
        <f>ChkList!$C13</f>
        <v>파일 및 디렉터리 소유자 설정</v>
      </c>
      <c r="E28" s="182"/>
      <c r="F28" s="182"/>
      <c r="G28" s="182"/>
      <c r="H28" s="182"/>
      <c r="I28" s="106" t="str">
        <f>ChkList!$D13</f>
        <v>H</v>
      </c>
      <c r="J28" s="129" t="str">
        <f t="shared" si="0"/>
        <v>Y</v>
      </c>
      <c r="K28" s="149" t="s">
        <v>340</v>
      </c>
      <c r="L28" s="108" t="str">
        <f>IF(J28="N",ChkList!G13,"")</f>
        <v/>
      </c>
      <c r="M28" s="105">
        <f>IF($J28="N/A",0,VLOOKUP($I28,ChkList!$A$47:$B$49,2,FALSE))*1</f>
        <v>3</v>
      </c>
      <c r="N28" s="106">
        <f>IFERROR(VLOOKUP($I28,ChkList!$A$47:$B$49,2,FALSE)*VLOOKUP($J28,ChkList!$A$52:$B$54,2,FALSE),0)</f>
        <v>3</v>
      </c>
    </row>
    <row r="29" spans="1:14" ht="86.4">
      <c r="A29" s="107"/>
      <c r="B29" s="140" t="s">
        <v>99</v>
      </c>
      <c r="C29" s="106" t="str">
        <f>ChkList!$B14</f>
        <v>U-08</v>
      </c>
      <c r="D29" s="182" t="str">
        <f>ChkList!$C14</f>
        <v>/etc/passwd 파일 소유자 및 권한 설정</v>
      </c>
      <c r="E29" s="182"/>
      <c r="F29" s="182"/>
      <c r="G29" s="182"/>
      <c r="H29" s="182"/>
      <c r="I29" s="106" t="str">
        <f>ChkList!$D14</f>
        <v>H</v>
      </c>
      <c r="J29" s="129" t="str">
        <f t="shared" si="0"/>
        <v>Y</v>
      </c>
      <c r="K29" s="149" t="s">
        <v>399</v>
      </c>
      <c r="L29" s="108" t="str">
        <f>IF(J29="N",ChkList!G14,"")</f>
        <v/>
      </c>
      <c r="M29" s="105">
        <f>IF($J29="N/A",0,VLOOKUP($I29,ChkList!$A$47:$B$49,2,FALSE))*1</f>
        <v>3</v>
      </c>
      <c r="N29" s="106">
        <f>IFERROR(VLOOKUP($I29,ChkList!$A$47:$B$49,2,FALSE)*VLOOKUP($J29,ChkList!$A$52:$B$54,2,FALSE),0)</f>
        <v>3</v>
      </c>
    </row>
    <row r="30" spans="1:14" ht="86.4">
      <c r="A30" s="107"/>
      <c r="B30" s="140" t="s">
        <v>100</v>
      </c>
      <c r="C30" s="106" t="str">
        <f>ChkList!$B15</f>
        <v>U-09</v>
      </c>
      <c r="D30" s="182" t="str">
        <f>ChkList!$C15</f>
        <v>/etc/shadow 파일 소유자 및 권한 설정</v>
      </c>
      <c r="E30" s="182"/>
      <c r="F30" s="182"/>
      <c r="G30" s="182"/>
      <c r="H30" s="182"/>
      <c r="I30" s="106" t="str">
        <f>ChkList!$D15</f>
        <v>H</v>
      </c>
      <c r="J30" s="129" t="str">
        <f t="shared" si="0"/>
        <v>Y</v>
      </c>
      <c r="K30" s="149" t="s">
        <v>400</v>
      </c>
      <c r="L30" s="108" t="str">
        <f>IF(J30="N",ChkList!G15,"")</f>
        <v/>
      </c>
      <c r="M30" s="105">
        <f>IF($J30="N/A",0,VLOOKUP($I30,ChkList!$A$47:$B$49,2,FALSE))*1</f>
        <v>3</v>
      </c>
      <c r="N30" s="106">
        <f>IFERROR(VLOOKUP($I30,ChkList!$A$47:$B$49,2,FALSE)*VLOOKUP($J30,ChkList!$A$52:$B$54,2,FALSE),0)</f>
        <v>3</v>
      </c>
    </row>
    <row r="31" spans="1:14" ht="86.4">
      <c r="A31" s="107"/>
      <c r="B31" s="140" t="s">
        <v>101</v>
      </c>
      <c r="C31" s="106" t="str">
        <f>ChkList!$B16</f>
        <v>U-10</v>
      </c>
      <c r="D31" s="182" t="str">
        <f>ChkList!$C16</f>
        <v>/etc/hosts 파일 소유자 및 권한 설정</v>
      </c>
      <c r="E31" s="182"/>
      <c r="F31" s="182"/>
      <c r="G31" s="182"/>
      <c r="H31" s="182"/>
      <c r="I31" s="106" t="str">
        <f>ChkList!$D16</f>
        <v>H</v>
      </c>
      <c r="J31" s="129" t="str">
        <f t="shared" si="0"/>
        <v>Y</v>
      </c>
      <c r="K31" s="149" t="s">
        <v>401</v>
      </c>
      <c r="L31" s="108" t="str">
        <f>IF(J31="N",ChkList!G16,"")</f>
        <v/>
      </c>
      <c r="M31" s="105">
        <f>IF($J31="N/A",0,VLOOKUP($I31,ChkList!$A$47:$B$49,2,FALSE))*1</f>
        <v>3</v>
      </c>
      <c r="N31" s="106">
        <f>IFERROR(VLOOKUP($I31,ChkList!$A$47:$B$49,2,FALSE)*VLOOKUP($J31,ChkList!$A$52:$B$54,2,FALSE),0)</f>
        <v>3</v>
      </c>
    </row>
    <row r="32" spans="1:14" ht="19.2">
      <c r="A32" s="107"/>
      <c r="B32" s="140" t="s">
        <v>102</v>
      </c>
      <c r="C32" s="106" t="str">
        <f>ChkList!$B17</f>
        <v>U-11</v>
      </c>
      <c r="D32" s="182" t="str">
        <f>ChkList!$C17</f>
        <v>/etc/(x)inetd.conf 파일 소유자 및 권한 설정</v>
      </c>
      <c r="E32" s="182"/>
      <c r="F32" s="182"/>
      <c r="G32" s="182"/>
      <c r="H32" s="182"/>
      <c r="I32" s="106" t="str">
        <f>ChkList!$D17</f>
        <v>H</v>
      </c>
      <c r="J32" s="129" t="str">
        <f t="shared" si="0"/>
        <v>Y</v>
      </c>
      <c r="K32" s="149" t="s">
        <v>241</v>
      </c>
      <c r="L32" s="108" t="str">
        <f>IF(J32="N",ChkList!G17,"")</f>
        <v/>
      </c>
      <c r="M32" s="105">
        <f>IF($J32="N/A",0,VLOOKUP($I32,ChkList!$A$47:$B$49,2,FALSE))*1</f>
        <v>3</v>
      </c>
      <c r="N32" s="106">
        <f>IFERROR(VLOOKUP($I32,ChkList!$A$47:$B$49,2,FALSE)*VLOOKUP($J32,ChkList!$A$52:$B$54,2,FALSE),0)</f>
        <v>3</v>
      </c>
    </row>
    <row r="33" spans="1:14" ht="19.2">
      <c r="A33" s="107"/>
      <c r="B33" s="140" t="s">
        <v>103</v>
      </c>
      <c r="C33" s="106" t="str">
        <f>ChkList!$B18</f>
        <v>U-12</v>
      </c>
      <c r="D33" s="182" t="str">
        <f>ChkList!$C18</f>
        <v>/etc/syslog.conf 파일 소유자 및 권한 설정</v>
      </c>
      <c r="E33" s="182"/>
      <c r="F33" s="182"/>
      <c r="G33" s="182"/>
      <c r="H33" s="182"/>
      <c r="I33" s="106" t="str">
        <f>ChkList!$D18</f>
        <v>H</v>
      </c>
      <c r="J33" s="129" t="str">
        <f t="shared" si="0"/>
        <v>Y</v>
      </c>
      <c r="K33" s="149" t="s">
        <v>385</v>
      </c>
      <c r="L33" s="108" t="str">
        <f>IF(J33="N",ChkList!G18,"")</f>
        <v/>
      </c>
      <c r="M33" s="105">
        <f>IF($J33="N/A",0,VLOOKUP($I33,ChkList!$A$47:$B$49,2,FALSE))*1</f>
        <v>3</v>
      </c>
      <c r="N33" s="106">
        <f>IFERROR(VLOOKUP($I33,ChkList!$A$47:$B$49,2,FALSE)*VLOOKUP($J33,ChkList!$A$52:$B$54,2,FALSE),0)</f>
        <v>3</v>
      </c>
    </row>
    <row r="34" spans="1:14" ht="86.4">
      <c r="A34" s="107"/>
      <c r="B34" s="140" t="s">
        <v>104</v>
      </c>
      <c r="C34" s="106" t="str">
        <f>ChkList!$B19</f>
        <v>U-13</v>
      </c>
      <c r="D34" s="182" t="str">
        <f>ChkList!$C19</f>
        <v>/etc/services 파일 소유자 및 권한 설정</v>
      </c>
      <c r="E34" s="182"/>
      <c r="F34" s="182"/>
      <c r="G34" s="182"/>
      <c r="H34" s="182"/>
      <c r="I34" s="106" t="str">
        <f>ChkList!$D19</f>
        <v>H</v>
      </c>
      <c r="J34" s="129" t="str">
        <f t="shared" si="0"/>
        <v>Y</v>
      </c>
      <c r="K34" s="149" t="s">
        <v>342</v>
      </c>
      <c r="L34" s="108" t="str">
        <f>IF(J34="N",ChkList!G19,"")</f>
        <v/>
      </c>
      <c r="M34" s="105">
        <f>IF($J34="N/A",0,VLOOKUP($I34,ChkList!$A$47:$B$49,2,FALSE))*1</f>
        <v>3</v>
      </c>
      <c r="N34" s="106">
        <f>IFERROR(VLOOKUP($I34,ChkList!$A$47:$B$49,2,FALSE)*VLOOKUP($J34,ChkList!$A$52:$B$54,2,FALSE),0)</f>
        <v>3</v>
      </c>
    </row>
    <row r="35" spans="1:14" ht="220.8">
      <c r="A35" s="107"/>
      <c r="B35" s="140" t="s">
        <v>105</v>
      </c>
      <c r="C35" s="106" t="str">
        <f>ChkList!$B20</f>
        <v>U-14</v>
      </c>
      <c r="D35" s="182" t="str">
        <f>ChkList!$C20</f>
        <v>SUID, SGID, Sticky bit 설정 파일 점검</v>
      </c>
      <c r="E35" s="182"/>
      <c r="F35" s="182"/>
      <c r="G35" s="182"/>
      <c r="H35" s="182"/>
      <c r="I35" s="106" t="str">
        <f>ChkList!$D20</f>
        <v>H</v>
      </c>
      <c r="J35" s="129" t="str">
        <f t="shared" si="0"/>
        <v>N</v>
      </c>
      <c r="K35" s="149" t="s">
        <v>394</v>
      </c>
      <c r="L35" s="108" t="str">
        <f>IF(J35="N",ChkList!G20,"")</f>
        <v>1. 검색된 파일 중 불필요한 파일 제거 및 권한 변경
  예시 #chmod –s &lt;file_name&gt;
  #rm –rf &lt;file_name&gt;</v>
      </c>
      <c r="M35" s="105">
        <f>IF($J35="N/A",0,VLOOKUP($I35,ChkList!$A$47:$B$49,2,FALSE))*1</f>
        <v>3</v>
      </c>
      <c r="N35" s="106">
        <f>IFERROR(VLOOKUP($I35,ChkList!$A$47:$B$49,2,FALSE)*VLOOKUP($J35,ChkList!$A$52:$B$54,2,FALSE),0)</f>
        <v>0</v>
      </c>
    </row>
    <row r="36" spans="1:14" ht="105.6">
      <c r="A36" s="107"/>
      <c r="B36" s="140" t="s">
        <v>106</v>
      </c>
      <c r="C36" s="106" t="str">
        <f>ChkList!$B21</f>
        <v>U-15</v>
      </c>
      <c r="D36" s="182" t="str">
        <f>ChkList!$C21</f>
        <v>사용자, 시스템 시작파일 및 환경파일 소유자 및 권한 설정</v>
      </c>
      <c r="E36" s="182"/>
      <c r="F36" s="182"/>
      <c r="G36" s="182"/>
      <c r="H36" s="182"/>
      <c r="I36" s="106" t="str">
        <f>ChkList!$D21</f>
        <v>H</v>
      </c>
      <c r="J36" s="129" t="str">
        <f t="shared" si="0"/>
        <v>Y</v>
      </c>
      <c r="K36" s="149" t="s">
        <v>395</v>
      </c>
      <c r="L36" s="108" t="str">
        <f>IF(J36="N",ChkList!G21,"")</f>
        <v/>
      </c>
      <c r="M36" s="105">
        <f>IF($J36="N/A",0,VLOOKUP($I36,ChkList!$A$47:$B$49,2,FALSE))*1</f>
        <v>3</v>
      </c>
      <c r="N36" s="106">
        <f>IFERROR(VLOOKUP($I36,ChkList!$A$47:$B$49,2,FALSE)*VLOOKUP($J36,ChkList!$A$52:$B$54,2,FALSE),0)</f>
        <v>3</v>
      </c>
    </row>
    <row r="37" spans="1:14" ht="76.8">
      <c r="A37" s="107"/>
      <c r="B37" s="140" t="s">
        <v>107</v>
      </c>
      <c r="C37" s="106" t="str">
        <f>ChkList!$B22</f>
        <v>U-16</v>
      </c>
      <c r="D37" s="182" t="str">
        <f>ChkList!$C22</f>
        <v>world writable 파일 점검</v>
      </c>
      <c r="E37" s="182"/>
      <c r="F37" s="182"/>
      <c r="G37" s="182"/>
      <c r="H37" s="182"/>
      <c r="I37" s="106" t="str">
        <f>ChkList!$D22</f>
        <v>H</v>
      </c>
      <c r="J37" s="129" t="str">
        <f t="shared" si="0"/>
        <v>Y</v>
      </c>
      <c r="K37" s="149" t="s">
        <v>387</v>
      </c>
      <c r="L37" s="108" t="str">
        <f>IF(J37="N",ChkList!G22,"")</f>
        <v/>
      </c>
      <c r="M37" s="105">
        <f>IF($J37="N/A",0,VLOOKUP($I37,ChkList!$A$47:$B$49,2,FALSE))*1</f>
        <v>3</v>
      </c>
      <c r="N37" s="106">
        <f>IFERROR(VLOOKUP($I37,ChkList!$A$47:$B$49,2,FALSE)*VLOOKUP($J37,ChkList!$A$52:$B$54,2,FALSE),0)</f>
        <v>3</v>
      </c>
    </row>
    <row r="38" spans="1:14" ht="76.8">
      <c r="A38" s="107"/>
      <c r="B38" s="140" t="s">
        <v>108</v>
      </c>
      <c r="C38" s="106" t="str">
        <f>ChkList!$B23</f>
        <v>U-17</v>
      </c>
      <c r="D38" s="182" t="str">
        <f>ChkList!$C23</f>
        <v>$HOME/.rhosts, hosts.equiv 사용 금지</v>
      </c>
      <c r="E38" s="182"/>
      <c r="F38" s="182"/>
      <c r="G38" s="182"/>
      <c r="H38" s="182"/>
      <c r="I38" s="106" t="str">
        <f>ChkList!$D23</f>
        <v>H</v>
      </c>
      <c r="J38" s="129" t="str">
        <f t="shared" si="0"/>
        <v>Y</v>
      </c>
      <c r="K38" s="146" t="s">
        <v>323</v>
      </c>
      <c r="L38" s="108" t="str">
        <f>IF(J38="N",ChkList!G23,"")</f>
        <v/>
      </c>
      <c r="M38" s="105">
        <f>IF($J38="N/A",0,VLOOKUP($I38,ChkList!$A$47:$B$49,2,FALSE))*1</f>
        <v>3</v>
      </c>
      <c r="N38" s="106">
        <f>IFERROR(VLOOKUP($I38,ChkList!$A$47:$B$49,2,FALSE)*VLOOKUP($J38,ChkList!$A$52:$B$54,2,FALSE),0)</f>
        <v>3</v>
      </c>
    </row>
    <row r="39" spans="1:14" ht="192">
      <c r="A39" s="107"/>
      <c r="B39" s="140" t="s">
        <v>109</v>
      </c>
      <c r="C39" s="106" t="str">
        <f>ChkList!$B24</f>
        <v>U-18</v>
      </c>
      <c r="D39" s="182" t="str">
        <f>ChkList!$C24</f>
        <v>접속 IP 및 포트 제한</v>
      </c>
      <c r="E39" s="182"/>
      <c r="F39" s="182"/>
      <c r="G39" s="182"/>
      <c r="H39" s="182"/>
      <c r="I39" s="106" t="str">
        <f>ChkList!$D24</f>
        <v>H</v>
      </c>
      <c r="J39" s="129" t="str">
        <f t="shared" si="0"/>
        <v>N</v>
      </c>
      <c r="K39" s="149" t="s">
        <v>357</v>
      </c>
      <c r="L39" s="108" t="str">
        <f>IF(J39="N",ChkList!G24,"")</f>
        <v>1. vi 편집기를 이용하여 “/etc/hosts.deny” 파일을 연 후
  # vi /etc/hosts.deny
2. 아래와 같이 수정 또는 추가 (ALL Deny 설정)
  ALL:ALL
3. vi 편집기를 이용하여 “/etc/hosts.allow” 파일을 연 후
  # vi /etc/hosts.allow
4. 아래와 같이 접속 허용 서비스 및 IP 설정
sshd : 192.168.0.148, 192.168.0.6 (다른 서비스도 동일한 방식으로 설정)
※ TCP Wrapper 접근제어 가능 서비스
SYSTAT, FINGER, FTP, TELNET, RLOGIN, RSH, TALK, EXEC, TFTP, SSH</v>
      </c>
      <c r="M39" s="105">
        <f>IF($J39="N/A",0,VLOOKUP($I39,ChkList!$A$47:$B$49,2,FALSE))*1</f>
        <v>3</v>
      </c>
      <c r="N39" s="106">
        <f>IFERROR(VLOOKUP($I39,ChkList!$A$47:$B$49,2,FALSE)*VLOOKUP($J39,ChkList!$A$52:$B$54,2,FALSE),0)</f>
        <v>0</v>
      </c>
    </row>
    <row r="40" spans="1:14" ht="19.2">
      <c r="A40" s="107"/>
      <c r="B40" s="140" t="s">
        <v>166</v>
      </c>
      <c r="C40" s="106" t="str">
        <f>ChkList!$B25</f>
        <v>U-19</v>
      </c>
      <c r="D40" s="182" t="str">
        <f>ChkList!$C25</f>
        <v>cron 파일 소유자 및 권한 설정</v>
      </c>
      <c r="E40" s="182"/>
      <c r="F40" s="182"/>
      <c r="G40" s="182"/>
      <c r="H40" s="182"/>
      <c r="I40" s="106" t="str">
        <f>ChkList!$D25</f>
        <v>H</v>
      </c>
      <c r="J40" s="129" t="str">
        <f t="shared" si="0"/>
        <v>Y</v>
      </c>
      <c r="K40" s="149" t="s">
        <v>344</v>
      </c>
      <c r="L40" s="108" t="str">
        <f>IF(J40="N",ChkList!G25,"")</f>
        <v/>
      </c>
      <c r="M40" s="105">
        <f>IF($J40="N/A",0,VLOOKUP($I40,ChkList!$A$47:$B$49,2,FALSE))*1</f>
        <v>3</v>
      </c>
      <c r="N40" s="106">
        <f>IFERROR(VLOOKUP($I40,ChkList!$A$47:$B$49,2,FALSE)*VLOOKUP($J40,ChkList!$A$52:$B$54,2,FALSE),0)</f>
        <v>3</v>
      </c>
    </row>
    <row r="41" spans="1:14">
      <c r="A41" s="101" t="str">
        <f>$A$14</f>
        <v>U3</v>
      </c>
      <c r="B41" s="102"/>
      <c r="C41" s="102" t="str">
        <f>VLOOKUP($A14,ChkList!$A$5:$B$44,2,FALSE)</f>
        <v>서비스 관리</v>
      </c>
      <c r="D41" s="103"/>
      <c r="E41" s="103"/>
      <c r="F41" s="103"/>
      <c r="G41" s="103"/>
      <c r="H41" s="103"/>
      <c r="I41" s="103"/>
      <c r="J41" s="130"/>
      <c r="K41" s="148"/>
      <c r="L41" s="104"/>
      <c r="M41" s="105"/>
      <c r="N41" s="106"/>
    </row>
    <row r="42" spans="1:14" ht="19.2">
      <c r="A42" s="107"/>
      <c r="B42" s="140" t="s">
        <v>110</v>
      </c>
      <c r="C42" s="106" t="str">
        <f>ChkList!$B27</f>
        <v>U-20</v>
      </c>
      <c r="D42" s="183" t="str">
        <f>ChkList!$C27</f>
        <v>Finger 서비스 비활성화</v>
      </c>
      <c r="E42" s="184"/>
      <c r="F42" s="184"/>
      <c r="G42" s="184"/>
      <c r="H42" s="185"/>
      <c r="I42" s="106" t="str">
        <f>ChkList!$D27</f>
        <v>H</v>
      </c>
      <c r="J42" s="129" t="str">
        <f t="shared" si="0"/>
        <v>Y</v>
      </c>
      <c r="K42" s="149" t="s">
        <v>242</v>
      </c>
      <c r="L42" s="108" t="str">
        <f>IF(J42="N",ChkList!G27,"")</f>
        <v/>
      </c>
      <c r="M42" s="105">
        <f>IF($J42="N/A",0,VLOOKUP($I42,ChkList!$A$47:$B$49,2,FALSE))*1</f>
        <v>3</v>
      </c>
      <c r="N42" s="106">
        <f>IFERROR(VLOOKUP($I42,ChkList!$A$47:$B$49,2,FALSE)*VLOOKUP($J42,ChkList!$A$52:$B$54,2,FALSE),0)</f>
        <v>3</v>
      </c>
    </row>
    <row r="43" spans="1:14" ht="19.2">
      <c r="A43" s="107"/>
      <c r="B43" s="140" t="s">
        <v>111</v>
      </c>
      <c r="C43" s="106" t="str">
        <f>ChkList!$B28</f>
        <v>U-21</v>
      </c>
      <c r="D43" s="182" t="str">
        <f>ChkList!$C28</f>
        <v>Anonymous FTP 비활성화</v>
      </c>
      <c r="E43" s="182"/>
      <c r="F43" s="182"/>
      <c r="G43" s="182"/>
      <c r="H43" s="182"/>
      <c r="I43" s="106" t="str">
        <f>ChkList!$D28</f>
        <v>H</v>
      </c>
      <c r="J43" s="129" t="str">
        <f t="shared" si="0"/>
        <v>Y</v>
      </c>
      <c r="K43" s="149" t="s">
        <v>345</v>
      </c>
      <c r="L43" s="108" t="str">
        <f>IF(J43="N",ChkList!G28,"")</f>
        <v/>
      </c>
      <c r="M43" s="105">
        <f>IF($J43="N/A",0,VLOOKUP($I43,ChkList!$A$47:$B$49,2,FALSE))*1</f>
        <v>3</v>
      </c>
      <c r="N43" s="106">
        <f>IFERROR(VLOOKUP($I43,ChkList!$A$47:$B$49,2,FALSE)*VLOOKUP($J43,ChkList!$A$52:$B$54,2,FALSE),0)</f>
        <v>3</v>
      </c>
    </row>
    <row r="44" spans="1:14" ht="19.2">
      <c r="A44" s="107"/>
      <c r="B44" s="140" t="s">
        <v>112</v>
      </c>
      <c r="C44" s="106" t="str">
        <f>ChkList!$B29</f>
        <v>U-22</v>
      </c>
      <c r="D44" s="182" t="str">
        <f>ChkList!$C29</f>
        <v>r 계열 서비스 비활성화</v>
      </c>
      <c r="E44" s="182"/>
      <c r="F44" s="182"/>
      <c r="G44" s="182"/>
      <c r="H44" s="182"/>
      <c r="I44" s="106" t="str">
        <f>ChkList!$D29</f>
        <v>H</v>
      </c>
      <c r="J44" s="129" t="str">
        <f t="shared" si="0"/>
        <v>Y</v>
      </c>
      <c r="K44" s="149" t="s">
        <v>244</v>
      </c>
      <c r="L44" s="108" t="str">
        <f>IF(J44="N",ChkList!G29,"")</f>
        <v/>
      </c>
      <c r="M44" s="105">
        <f>IF($J44="N/A",0,VLOOKUP($I44,ChkList!$A$47:$B$49,2,FALSE))*1</f>
        <v>3</v>
      </c>
      <c r="N44" s="106">
        <f>IFERROR(VLOOKUP($I44,ChkList!$A$47:$B$49,2,FALSE)*VLOOKUP($J44,ChkList!$A$52:$B$54,2,FALSE),0)</f>
        <v>3</v>
      </c>
    </row>
    <row r="45" spans="1:14" ht="28.8">
      <c r="A45" s="107"/>
      <c r="B45" s="140" t="s">
        <v>114</v>
      </c>
      <c r="C45" s="106" t="str">
        <f>ChkList!$B30</f>
        <v>U-23</v>
      </c>
      <c r="D45" s="182" t="str">
        <f>ChkList!$C30</f>
        <v>DoS 공격에 취약한 서비스 비활성화</v>
      </c>
      <c r="E45" s="182"/>
      <c r="F45" s="182"/>
      <c r="G45" s="182"/>
      <c r="H45" s="182"/>
      <c r="I45" s="106" t="str">
        <f>ChkList!$D30</f>
        <v>H</v>
      </c>
      <c r="J45" s="129" t="str">
        <f t="shared" si="0"/>
        <v>Y</v>
      </c>
      <c r="K45" s="149" t="s">
        <v>245</v>
      </c>
      <c r="L45" s="108" t="str">
        <f>IF(J45="N",ChkList!G30,"")</f>
        <v/>
      </c>
      <c r="M45" s="105">
        <f>IF($J45="N/A",0,VLOOKUP($I45,ChkList!$A$47:$B$49,2,FALSE))*1</f>
        <v>3</v>
      </c>
      <c r="N45" s="106">
        <f>IFERROR(VLOOKUP($I45,ChkList!$A$47:$B$49,2,FALSE)*VLOOKUP($J45,ChkList!$A$52:$B$54,2,FALSE),0)</f>
        <v>3</v>
      </c>
    </row>
    <row r="46" spans="1:14" ht="19.2">
      <c r="A46" s="107"/>
      <c r="B46" s="140" t="s">
        <v>115</v>
      </c>
      <c r="C46" s="106" t="str">
        <f>ChkList!$B31</f>
        <v>U-24</v>
      </c>
      <c r="D46" s="182" t="str">
        <f>ChkList!$C31</f>
        <v>NFS 서비스 비활성화</v>
      </c>
      <c r="E46" s="182"/>
      <c r="F46" s="182"/>
      <c r="G46" s="182"/>
      <c r="H46" s="182"/>
      <c r="I46" s="106" t="str">
        <f>ChkList!$D31</f>
        <v>H</v>
      </c>
      <c r="J46" s="129" t="str">
        <f t="shared" si="0"/>
        <v>Y</v>
      </c>
      <c r="K46" s="149" t="s">
        <v>346</v>
      </c>
      <c r="L46" s="108" t="str">
        <f>IF(J46="N",ChkList!G31,"")</f>
        <v/>
      </c>
      <c r="M46" s="105">
        <f>IF($J46="N/A",0,VLOOKUP($I46,ChkList!$A$47:$B$49,2,FALSE))*1</f>
        <v>3</v>
      </c>
      <c r="N46" s="106">
        <f>IFERROR(VLOOKUP($I46,ChkList!$A$47:$B$49,2,FALSE)*VLOOKUP($J46,ChkList!$A$52:$B$54,2,FALSE),0)</f>
        <v>3</v>
      </c>
    </row>
    <row r="47" spans="1:14" ht="19.2">
      <c r="A47" s="107"/>
      <c r="B47" s="140" t="s">
        <v>116</v>
      </c>
      <c r="C47" s="106" t="str">
        <f>ChkList!$B32</f>
        <v>U-25</v>
      </c>
      <c r="D47" s="182" t="str">
        <f>ChkList!$C32</f>
        <v xml:space="preserve">NFS 접근통제 </v>
      </c>
      <c r="E47" s="182"/>
      <c r="F47" s="182"/>
      <c r="G47" s="182"/>
      <c r="H47" s="182"/>
      <c r="I47" s="106" t="str">
        <f>ChkList!$D32</f>
        <v>H</v>
      </c>
      <c r="J47" s="129" t="str">
        <f t="shared" si="0"/>
        <v>Y</v>
      </c>
      <c r="K47" s="149" t="s">
        <v>347</v>
      </c>
      <c r="L47" s="108" t="str">
        <f>IF(J47="N",ChkList!G32,"")</f>
        <v/>
      </c>
      <c r="M47" s="105">
        <f>IF($J47="N/A",0,VLOOKUP($I47,ChkList!$A$47:$B$49,2,FALSE))*1</f>
        <v>3</v>
      </c>
      <c r="N47" s="106">
        <f>IFERROR(VLOOKUP($I47,ChkList!$A$47:$B$49,2,FALSE)*VLOOKUP($J47,ChkList!$A$52:$B$54,2,FALSE),0)</f>
        <v>3</v>
      </c>
    </row>
    <row r="48" spans="1:14" ht="19.2">
      <c r="A48" s="107"/>
      <c r="B48" s="140" t="s">
        <v>117</v>
      </c>
      <c r="C48" s="106" t="str">
        <f>ChkList!$B33</f>
        <v>U-26</v>
      </c>
      <c r="D48" s="182" t="str">
        <f>ChkList!$C33</f>
        <v>automountd 제거</v>
      </c>
      <c r="E48" s="182"/>
      <c r="F48" s="182"/>
      <c r="G48" s="182"/>
      <c r="H48" s="182"/>
      <c r="I48" s="106" t="str">
        <f>ChkList!$D33</f>
        <v>H</v>
      </c>
      <c r="J48" s="129" t="str">
        <f t="shared" si="0"/>
        <v>Y</v>
      </c>
      <c r="K48" s="149" t="s">
        <v>246</v>
      </c>
      <c r="L48" s="108" t="str">
        <f>IF(J48="N",ChkList!G33,"")</f>
        <v/>
      </c>
      <c r="M48" s="105">
        <f>IF($J48="N/A",0,VLOOKUP($I48,ChkList!$A$47:$B$49,2,FALSE))*1</f>
        <v>3</v>
      </c>
      <c r="N48" s="106">
        <f>IFERROR(VLOOKUP($I48,ChkList!$A$47:$B$49,2,FALSE)*VLOOKUP($J48,ChkList!$A$52:$B$54,2,FALSE),0)</f>
        <v>3</v>
      </c>
    </row>
    <row r="49" spans="1:14" ht="19.2">
      <c r="A49" s="107"/>
      <c r="B49" s="140" t="s">
        <v>118</v>
      </c>
      <c r="C49" s="106" t="str">
        <f>ChkList!$B34</f>
        <v>U-27</v>
      </c>
      <c r="D49" s="182" t="str">
        <f>ChkList!$C34</f>
        <v>RPC 서비스 확인</v>
      </c>
      <c r="E49" s="182"/>
      <c r="F49" s="182"/>
      <c r="G49" s="182"/>
      <c r="H49" s="182"/>
      <c r="I49" s="106" t="str">
        <f>ChkList!$D34</f>
        <v>H</v>
      </c>
      <c r="J49" s="129" t="str">
        <f t="shared" si="0"/>
        <v>Y</v>
      </c>
      <c r="K49" s="149" t="s">
        <v>348</v>
      </c>
      <c r="L49" s="108" t="str">
        <f>IF(J49="N",ChkList!G34,"")</f>
        <v/>
      </c>
      <c r="M49" s="105">
        <f>IF($J49="N/A",0,VLOOKUP($I49,ChkList!$A$47:$B$49,2,FALSE))*1</f>
        <v>3</v>
      </c>
      <c r="N49" s="106">
        <f>IFERROR(VLOOKUP($I49,ChkList!$A$47:$B$49,2,FALSE)*VLOOKUP($J49,ChkList!$A$52:$B$54,2,FALSE),0)</f>
        <v>3</v>
      </c>
    </row>
    <row r="50" spans="1:14" ht="19.2">
      <c r="A50" s="107"/>
      <c r="B50" s="140" t="s">
        <v>119</v>
      </c>
      <c r="C50" s="106" t="str">
        <f>ChkList!$B35</f>
        <v>U-28</v>
      </c>
      <c r="D50" s="182" t="str">
        <f>ChkList!$C35</f>
        <v>NIS, NIS+ 점검</v>
      </c>
      <c r="E50" s="182"/>
      <c r="F50" s="182"/>
      <c r="G50" s="182"/>
      <c r="H50" s="182"/>
      <c r="I50" s="106" t="str">
        <f>ChkList!$D35</f>
        <v>H</v>
      </c>
      <c r="J50" s="129" t="str">
        <f t="shared" si="0"/>
        <v>Y</v>
      </c>
      <c r="K50" s="149" t="s">
        <v>247</v>
      </c>
      <c r="L50" s="108" t="str">
        <f>IF(J50="N",ChkList!G35,"")</f>
        <v/>
      </c>
      <c r="M50" s="105">
        <f>IF($J50="N/A",0,VLOOKUP($I50,ChkList!$A$47:$B$49,2,FALSE))*1</f>
        <v>3</v>
      </c>
      <c r="N50" s="106">
        <f>IFERROR(VLOOKUP($I50,ChkList!$A$47:$B$49,2,FALSE)*VLOOKUP($J50,ChkList!$A$52:$B$54,2,FALSE),0)</f>
        <v>3</v>
      </c>
    </row>
    <row r="51" spans="1:14" ht="19.2">
      <c r="A51" s="107"/>
      <c r="B51" s="140" t="s">
        <v>120</v>
      </c>
      <c r="C51" s="106" t="str">
        <f>ChkList!$B36</f>
        <v>U-29</v>
      </c>
      <c r="D51" s="182" t="str">
        <f>ChkList!$C36</f>
        <v>tftp, talk 서비스 비활성화</v>
      </c>
      <c r="E51" s="182"/>
      <c r="F51" s="182"/>
      <c r="G51" s="182"/>
      <c r="H51" s="182"/>
      <c r="I51" s="106" t="str">
        <f>ChkList!$D36</f>
        <v>H</v>
      </c>
      <c r="J51" s="129" t="str">
        <f t="shared" si="0"/>
        <v>Y</v>
      </c>
      <c r="K51" s="149" t="s">
        <v>248</v>
      </c>
      <c r="L51" s="108" t="str">
        <f>IF(J51="N",ChkList!G36,"")</f>
        <v/>
      </c>
      <c r="M51" s="105">
        <f>IF($J51="N/A",0,VLOOKUP($I51,ChkList!$A$47:$B$49,2,FALSE))*1</f>
        <v>3</v>
      </c>
      <c r="N51" s="106">
        <f>IFERROR(VLOOKUP($I51,ChkList!$A$47:$B$49,2,FALSE)*VLOOKUP($J51,ChkList!$A$52:$B$54,2,FALSE),0)</f>
        <v>3</v>
      </c>
    </row>
    <row r="52" spans="1:14" ht="19.2">
      <c r="A52" s="107"/>
      <c r="B52" s="140" t="s">
        <v>121</v>
      </c>
      <c r="C52" s="106" t="str">
        <f>ChkList!$B37</f>
        <v>U-30</v>
      </c>
      <c r="D52" s="182" t="str">
        <f>ChkList!$C37</f>
        <v>Sendmail 버전 점검</v>
      </c>
      <c r="E52" s="182"/>
      <c r="F52" s="182"/>
      <c r="G52" s="182"/>
      <c r="H52" s="182"/>
      <c r="I52" s="106" t="str">
        <f>ChkList!$D37</f>
        <v>H</v>
      </c>
      <c r="J52" s="129" t="str">
        <f t="shared" si="0"/>
        <v>Y</v>
      </c>
      <c r="K52" s="149" t="s">
        <v>249</v>
      </c>
      <c r="L52" s="108" t="str">
        <f>IF(J52="N",ChkList!G37,"")</f>
        <v/>
      </c>
      <c r="M52" s="105">
        <f>IF($J52="N/A",0,VLOOKUP($I52,ChkList!$A$47:$B$49,2,FALSE))*1</f>
        <v>3</v>
      </c>
      <c r="N52" s="106">
        <f>IFERROR(VLOOKUP($I52,ChkList!$A$47:$B$49,2,FALSE)*VLOOKUP($J52,ChkList!$A$52:$B$54,2,FALSE),0)</f>
        <v>3</v>
      </c>
    </row>
    <row r="53" spans="1:14" ht="19.2">
      <c r="A53" s="107"/>
      <c r="B53" s="140" t="s">
        <v>122</v>
      </c>
      <c r="C53" s="106" t="str">
        <f>ChkList!$B38</f>
        <v>U-31</v>
      </c>
      <c r="D53" s="182" t="str">
        <f>ChkList!$C38</f>
        <v>스팸 메일 릴레이 제한</v>
      </c>
      <c r="E53" s="182"/>
      <c r="F53" s="182"/>
      <c r="G53" s="182"/>
      <c r="H53" s="182"/>
      <c r="I53" s="106" t="str">
        <f>ChkList!$D38</f>
        <v>H</v>
      </c>
      <c r="J53" s="129" t="str">
        <f t="shared" si="0"/>
        <v>Y</v>
      </c>
      <c r="K53" s="149" t="s">
        <v>249</v>
      </c>
      <c r="L53" s="108" t="str">
        <f>IF(J53="N",ChkList!G38,"")</f>
        <v/>
      </c>
      <c r="M53" s="105">
        <f>IF($J53="N/A",0,VLOOKUP($I53,ChkList!$A$47:$B$49,2,FALSE))*1</f>
        <v>3</v>
      </c>
      <c r="N53" s="106">
        <f>IFERROR(VLOOKUP($I53,ChkList!$A$47:$B$49,2,FALSE)*VLOOKUP($J53,ChkList!$A$52:$B$54,2,FALSE),0)</f>
        <v>3</v>
      </c>
    </row>
    <row r="54" spans="1:14" ht="19.2">
      <c r="A54" s="107"/>
      <c r="B54" s="140" t="s">
        <v>123</v>
      </c>
      <c r="C54" s="106" t="str">
        <f>ChkList!$B39</f>
        <v>U-32</v>
      </c>
      <c r="D54" s="182" t="str">
        <f>ChkList!$C39</f>
        <v>일반사용자의 Sendmail 실행 방지</v>
      </c>
      <c r="E54" s="182"/>
      <c r="F54" s="182"/>
      <c r="G54" s="182"/>
      <c r="H54" s="182"/>
      <c r="I54" s="106" t="str">
        <f>ChkList!$D39</f>
        <v>H</v>
      </c>
      <c r="J54" s="129" t="str">
        <f t="shared" si="0"/>
        <v>Y</v>
      </c>
      <c r="K54" s="149" t="s">
        <v>249</v>
      </c>
      <c r="L54" s="108" t="str">
        <f>IF(J54="N",ChkList!G39,"")</f>
        <v/>
      </c>
      <c r="M54" s="105">
        <f>IF($J54="N/A",0,VLOOKUP($I54,ChkList!$A$47:$B$49,2,FALSE))*1</f>
        <v>3</v>
      </c>
      <c r="N54" s="106">
        <f>IFERROR(VLOOKUP($I54,ChkList!$A$47:$B$49,2,FALSE)*VLOOKUP($J54,ChkList!$A$52:$B$54,2,FALSE),0)</f>
        <v>3</v>
      </c>
    </row>
    <row r="55" spans="1:14" ht="19.2">
      <c r="A55" s="107"/>
      <c r="B55" s="140" t="s">
        <v>124</v>
      </c>
      <c r="C55" s="106" t="str">
        <f>ChkList!$B40</f>
        <v>U-33</v>
      </c>
      <c r="D55" s="182" t="str">
        <f>ChkList!$C40</f>
        <v>DNS 보안 버전 패치</v>
      </c>
      <c r="E55" s="182"/>
      <c r="F55" s="182"/>
      <c r="G55" s="182"/>
      <c r="H55" s="182"/>
      <c r="I55" s="106" t="str">
        <f>ChkList!$D40</f>
        <v>H</v>
      </c>
      <c r="J55" s="129" t="str">
        <f t="shared" si="0"/>
        <v>Y</v>
      </c>
      <c r="K55" s="149" t="s">
        <v>250</v>
      </c>
      <c r="L55" s="108" t="str">
        <f>IF(J55="N",ChkList!G40,"")</f>
        <v/>
      </c>
      <c r="M55" s="105">
        <f>IF($J55="N/A",0,VLOOKUP($I55,ChkList!$A$47:$B$49,2,FALSE))*1</f>
        <v>3</v>
      </c>
      <c r="N55" s="106">
        <f>IFERROR(VLOOKUP($I55,ChkList!$A$47:$B$49,2,FALSE)*VLOOKUP($J55,ChkList!$A$52:$B$54,2,FALSE),0)</f>
        <v>3</v>
      </c>
    </row>
    <row r="56" spans="1:14" ht="19.2">
      <c r="A56" s="107"/>
      <c r="B56" s="140" t="s">
        <v>125</v>
      </c>
      <c r="C56" s="106" t="str">
        <f>ChkList!$B41</f>
        <v>U-34</v>
      </c>
      <c r="D56" s="182" t="str">
        <f>ChkList!$C41</f>
        <v>DNS ZoneTransfer 설정</v>
      </c>
      <c r="E56" s="182"/>
      <c r="F56" s="182"/>
      <c r="G56" s="182"/>
      <c r="H56" s="182"/>
      <c r="I56" s="106" t="str">
        <f>ChkList!$D41</f>
        <v>H</v>
      </c>
      <c r="J56" s="129" t="str">
        <f t="shared" si="0"/>
        <v>Y</v>
      </c>
      <c r="K56" s="149" t="s">
        <v>250</v>
      </c>
      <c r="L56" s="108" t="str">
        <f>IF(J56="N",ChkList!G41,"")</f>
        <v/>
      </c>
      <c r="M56" s="105">
        <f>IF($J56="N/A",0,VLOOKUP($I56,ChkList!$A$47:$B$49,2,FALSE))*1</f>
        <v>3</v>
      </c>
      <c r="N56" s="106">
        <f>IFERROR(VLOOKUP($I56,ChkList!$A$47:$B$49,2,FALSE)*VLOOKUP($J56,ChkList!$A$52:$B$54,2,FALSE),0)</f>
        <v>3</v>
      </c>
    </row>
    <row r="57" spans="1:14">
      <c r="A57" s="101" t="str">
        <f>$A$15</f>
        <v>U4</v>
      </c>
      <c r="B57" s="102"/>
      <c r="C57" s="102" t="str">
        <f>VLOOKUP($A15,ChkList!$A$5:$B$44,2,FALSE)</f>
        <v>패치 및 로그관리</v>
      </c>
      <c r="D57" s="103"/>
      <c r="E57" s="103"/>
      <c r="F57" s="103"/>
      <c r="G57" s="103"/>
      <c r="H57" s="103"/>
      <c r="I57" s="103"/>
      <c r="J57" s="130"/>
      <c r="K57" s="148"/>
      <c r="L57" s="104"/>
      <c r="M57" s="105"/>
      <c r="N57" s="106"/>
    </row>
    <row r="58" spans="1:14" ht="307.2">
      <c r="A58" s="107"/>
      <c r="B58" s="140" t="s">
        <v>126</v>
      </c>
      <c r="C58" s="106" t="str">
        <f>ChkList!$B43</f>
        <v>U-35</v>
      </c>
      <c r="D58" s="182" t="str">
        <f>ChkList!$C43</f>
        <v>최신 보안패치 및 벤더 권고사항 적용</v>
      </c>
      <c r="E58" s="182"/>
      <c r="F58" s="182"/>
      <c r="G58" s="182"/>
      <c r="H58" s="182"/>
      <c r="I58" s="106" t="str">
        <f>ChkList!$D43</f>
        <v>H</v>
      </c>
      <c r="J58" s="129" t="str">
        <f>IF(IFERROR(FIND("[양호]",LEFT(K58,5)),0),"Y",IF(IFERROR(FIND("[취약]",LEFT(K58,5)),0),"N",IF(IFERROR(FIND("[N/A]",LEFT(K58,5)),0),"N/A","인터뷰")))</f>
        <v>N</v>
      </c>
      <c r="K58" s="149" t="s">
        <v>397</v>
      </c>
      <c r="L58" s="108" t="str">
        <f>IF(J58="N",ChkList!G43,"")</f>
        <v>※ 설정 기준 권고 (또는 정책기준)
1. 보안 취약점이 발표되면 시스템 영향도를 평가하고, 긴급 대응책 및 중장기 대응책을 마련하여 계획과 허가에 의해 대응하는 것이 좋다.
2. 패치를 수행할 시 시스템의 영향도에 따라 패치를 차등 수행하도록 한다.
3. 시스템 운영에 영향을 주지 않는 범위 내에서 주기적으로 패치를 수행할 것을 권고함</v>
      </c>
      <c r="M58" s="105">
        <f>IF($J58="N/A",0,VLOOKUP($I58,ChkList!$A$47:$B$49,2,FALSE))*1</f>
        <v>3</v>
      </c>
      <c r="N58" s="106">
        <f>IFERROR(VLOOKUP($I58,ChkList!$A$47:$B$49,2,FALSE)*VLOOKUP($J58,ChkList!$A$52:$B$54,2,FALSE),0)</f>
        <v>0</v>
      </c>
    </row>
    <row r="59" spans="1:14" ht="144">
      <c r="A59" s="107"/>
      <c r="B59" s="140" t="s">
        <v>127</v>
      </c>
      <c r="C59" s="106" t="str">
        <f>ChkList!$B44</f>
        <v>U-36</v>
      </c>
      <c r="D59" s="182" t="str">
        <f>ChkList!$C44</f>
        <v>로그의 정기적 검토 및 보고</v>
      </c>
      <c r="E59" s="182"/>
      <c r="F59" s="182"/>
      <c r="G59" s="182"/>
      <c r="H59" s="182"/>
      <c r="I59" s="106" t="str">
        <f>ChkList!$D44</f>
        <v>H</v>
      </c>
      <c r="J59" s="129" t="str">
        <f>IF(IFERROR(FIND("[양호]",LEFT(K59,5)),0),"Y",IF(IFERROR(FIND("[취약]",LEFT(K59,5)),0),"N",IF(IFERROR(FIND("[N/A]",LEFT(K59,5)),0),"N/A","인터뷰")))</f>
        <v>N</v>
      </c>
      <c r="K59" s="145" t="s">
        <v>403</v>
      </c>
      <c r="L59" s="108" t="str">
        <f>IF(J59="N",ChkList!G44,"")</f>
        <v>※ 로그파일에는 해킹의 흔적들이 남겨져 있을 수 있으므로, 다음과 같이 로그 파일의 백업에 대한 검토를 해야 함.
1. su 시도에 관한 로그
2. 반복적인 로그인 실패에 관한 로그
3. 로그인 거부 메세지에 관한 로그
4. 기본적 log 파일의 위치는 /var/adm, /var/log
※ 커널과 시스템에 관련된 로그 메시지들은 syslogd와 klogd 두개의 데몬에 의해서 /var/log/messages에 기록하게 됨. 이 파일을 분석함으로써 시스템을 항상 점검 관리해야 함.</v>
      </c>
      <c r="M59" s="105">
        <f>IF($J59="N/A",0,VLOOKUP($I59,ChkList!$A$47:$B$49,2,FALSE))*1</f>
        <v>3</v>
      </c>
      <c r="N59" s="106">
        <f>IFERROR(VLOOKUP($I59,ChkList!$A$47:$B$49,2,FALSE)*VLOOKUP($J59,ChkList!$A$52:$B$54,2,FALSE),0)</f>
        <v>0</v>
      </c>
    </row>
    <row r="65" spans="13:13">
      <c r="M65" s="20"/>
    </row>
    <row r="66" spans="13:13">
      <c r="M66" s="20"/>
    </row>
    <row r="67" spans="13:13">
      <c r="M67" s="20"/>
    </row>
    <row r="68" spans="13:13">
      <c r="M68" s="20"/>
    </row>
    <row r="69" spans="13:13">
      <c r="M69" s="20"/>
    </row>
    <row r="70" spans="13:13">
      <c r="M70" s="20"/>
    </row>
    <row r="71" spans="13:13">
      <c r="M71" s="20"/>
    </row>
    <row r="72" spans="13:13">
      <c r="M72" s="20"/>
    </row>
    <row r="73" spans="13:13">
      <c r="M73" s="20"/>
    </row>
    <row r="74" spans="13:13">
      <c r="M74" s="20"/>
    </row>
    <row r="76" spans="13:13">
      <c r="M76" s="20"/>
    </row>
    <row r="77" spans="13:13">
      <c r="M77" s="20"/>
    </row>
    <row r="78" spans="13:13">
      <c r="M78" s="20"/>
    </row>
    <row r="79" spans="13:13">
      <c r="M79" s="20"/>
    </row>
    <row r="80" spans="13:13">
      <c r="M80" s="20"/>
    </row>
  </sheetData>
  <mergeCells count="57">
    <mergeCell ref="A4:D4"/>
    <mergeCell ref="E4:F4"/>
    <mergeCell ref="G4:H4"/>
    <mergeCell ref="I4:J4"/>
    <mergeCell ref="A5:D5"/>
    <mergeCell ref="E5:F5"/>
    <mergeCell ref="G5:H5"/>
    <mergeCell ref="I5:J5"/>
    <mergeCell ref="A6:D6"/>
    <mergeCell ref="E6:F6"/>
    <mergeCell ref="G6:H6"/>
    <mergeCell ref="I6:J6"/>
    <mergeCell ref="A10:D11"/>
    <mergeCell ref="E10:G10"/>
    <mergeCell ref="H10:J10"/>
    <mergeCell ref="C12:D12"/>
    <mergeCell ref="C13:D13"/>
    <mergeCell ref="C14:D14"/>
    <mergeCell ref="C15:D15"/>
    <mergeCell ref="A19:C19"/>
    <mergeCell ref="D19:H19"/>
    <mergeCell ref="D33:H33"/>
    <mergeCell ref="D21:H21"/>
    <mergeCell ref="D22:H22"/>
    <mergeCell ref="D23:H23"/>
    <mergeCell ref="D24:H24"/>
    <mergeCell ref="D25:H25"/>
    <mergeCell ref="D27:H27"/>
    <mergeCell ref="D28:H28"/>
    <mergeCell ref="D29:H29"/>
    <mergeCell ref="D30:H30"/>
    <mergeCell ref="D31:H31"/>
    <mergeCell ref="D32:H32"/>
    <mergeCell ref="D46:H46"/>
    <mergeCell ref="D34:H34"/>
    <mergeCell ref="D35:H35"/>
    <mergeCell ref="D36:H36"/>
    <mergeCell ref="D37:H37"/>
    <mergeCell ref="D38:H38"/>
    <mergeCell ref="D39:H39"/>
    <mergeCell ref="D40:H40"/>
    <mergeCell ref="D42:H42"/>
    <mergeCell ref="D43:H43"/>
    <mergeCell ref="D44:H44"/>
    <mergeCell ref="D45:H45"/>
    <mergeCell ref="D59:H59"/>
    <mergeCell ref="D47:H47"/>
    <mergeCell ref="D48:H48"/>
    <mergeCell ref="D49:H49"/>
    <mergeCell ref="D50:H50"/>
    <mergeCell ref="D51:H51"/>
    <mergeCell ref="D52:H52"/>
    <mergeCell ref="D53:H53"/>
    <mergeCell ref="D54:H54"/>
    <mergeCell ref="D55:H55"/>
    <mergeCell ref="D56:H56"/>
    <mergeCell ref="D58:H58"/>
  </mergeCells>
  <phoneticPr fontId="8" type="noConversion"/>
  <conditionalFormatting sqref="J19:J25 J27:J40 J42:J56 J58:J59">
    <cfRule type="cellIs" dxfId="2" priority="2" stopIfTrue="1" operator="equal">
      <formula>"N/A"</formula>
    </cfRule>
    <cfRule type="cellIs" dxfId="1" priority="3" stopIfTrue="1" operator="equal">
      <formula>"N"</formula>
    </cfRule>
  </conditionalFormatting>
  <conditionalFormatting sqref="J21:J59">
    <cfRule type="containsText" dxfId="0" priority="1" operator="containsText" text="인터뷰">
      <formula>NOT(ISERROR(SEARCH("인터뷰",J21)))</formula>
    </cfRule>
  </conditionalFormatting>
  <dataValidations count="1">
    <dataValidation type="list" allowBlank="1" showInputMessage="1" showErrorMessage="1" errorTitle="오류!" error="Y, N, N/A 중에 선택" sqref="AMT27:AMT40 JF58:JF59 TB58:TB59 ACX58:ACX59 AMT58:AMT59 AWP58:AWP59 BGL58:BGL59 BQH58:BQH59 CAD58:CAD59 CJZ58:CJZ59 CTV58:CTV59 DDR58:DDR59 DNN58:DNN59 DXJ58:DXJ59 EHF58:EHF59 ERB58:ERB59 FAX58:FAX59 FKT58:FKT59 FUP58:FUP59 GEL58:GEL59 GOH58:GOH59 GYD58:GYD59 HHZ58:HHZ59 HRV58:HRV59 IBR58:IBR59 ILN58:ILN59 IVJ58:IVJ59 JFF58:JFF59 JPB58:JPB59 JYX58:JYX59 KIT58:KIT59 KSP58:KSP59 LCL58:LCL59 LMH58:LMH59 LWD58:LWD59 MFZ58:MFZ59 MPV58:MPV59 MZR58:MZR59 NJN58:NJN59 NTJ58:NTJ59 ODF58:ODF59 ONB58:ONB59 OWX58:OWX59 PGT58:PGT59 PQP58:PQP59 QAL58:QAL59 QKH58:QKH59 QUD58:QUD59 RDZ58:RDZ59 RNV58:RNV59 RXR58:RXR59 SHN58:SHN59 SRJ58:SRJ59 TBF58:TBF59 TLB58:TLB59 TUX58:TUX59 UET58:UET59 UOP58:UOP59 UYL58:UYL59 VIH58:VIH59 VSD58:VSD59 WBZ58:WBZ59 WLV58:WLV59 WVR58:WVR59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WVR983081:WVR983095 JF21:JF25 TB21:TB25 ACX21:ACX25 AMT21:AMT25 AWP21:AWP25 BGL21:BGL25 BQH21:BQH25 CAD21:CAD25 CJZ21:CJZ25 CTV21:CTV25 DDR21:DDR25 DNN21:DNN25 DXJ21:DXJ25 EHF21:EHF25 ERB21:ERB25 FAX21:FAX25 FKT21:FKT25 FUP21:FUP25 GEL21:GEL25 GOH21:GOH25 GYD21:GYD25 HHZ21:HHZ25 HRV21:HRV25 IBR21:IBR25 ILN21:ILN25 IVJ21:IVJ25 JFF21:JFF25 JPB21:JPB25 JYX21:JYX25 KIT21:KIT25 KSP21:KSP25 LCL21:LCL25 LMH21:LMH25 LWD21:LWD25 MFZ21:MFZ25 MPV21:MPV25 MZR21:MZR25 NJN21:NJN25 NTJ21:NTJ25 ODF21:ODF25 ONB21:ONB25 OWX21:OWX25 PGT21:PGT25 PQP21:PQP25 QAL21:QAL25 QKH21:QKH25 QUD21:QUD25 RDZ21:RDZ25 RNV21:RNV25 RXR21:RXR25 SHN21:SHN25 SRJ21:SRJ25 TBF21:TBF25 TLB21:TLB25 TUX21:TUX25 UET21:UET25 UOP21:UOP25 UYL21:UYL25 VIH21:VIH25 VSD21:VSD25 WBZ21:WBZ25 WLV21:WLV25 WVR21:WVR25 J65555:J65560 JF65555:JF65560 TB65555:TB65560 ACX65555:ACX65560 AMT65555:AMT65560 AWP65555:AWP65560 BGL65555:BGL65560 BQH65555:BQH65560 CAD65555:CAD65560 CJZ65555:CJZ65560 CTV65555:CTV65560 DDR65555:DDR65560 DNN65555:DNN65560 DXJ65555:DXJ65560 EHF65555:EHF65560 ERB65555:ERB65560 FAX65555:FAX65560 FKT65555:FKT65560 FUP65555:FUP65560 GEL65555:GEL65560 GOH65555:GOH65560 GYD65555:GYD65560 HHZ65555:HHZ65560 HRV65555:HRV65560 IBR65555:IBR65560 ILN65555:ILN65560 IVJ65555:IVJ65560 JFF65555:JFF65560 JPB65555:JPB65560 JYX65555:JYX65560 KIT65555:KIT65560 KSP65555:KSP65560 LCL65555:LCL65560 LMH65555:LMH65560 LWD65555:LWD65560 MFZ65555:MFZ65560 MPV65555:MPV65560 MZR65555:MZR65560 NJN65555:NJN65560 NTJ65555:NTJ65560 ODF65555:ODF65560 ONB65555:ONB65560 OWX65555:OWX65560 PGT65555:PGT65560 PQP65555:PQP65560 QAL65555:QAL65560 QKH65555:QKH65560 QUD65555:QUD65560 RDZ65555:RDZ65560 RNV65555:RNV65560 RXR65555:RXR65560 SHN65555:SHN65560 SRJ65555:SRJ65560 TBF65555:TBF65560 TLB65555:TLB65560 TUX65555:TUX65560 UET65555:UET65560 UOP65555:UOP65560 UYL65555:UYL65560 VIH65555:VIH65560 VSD65555:VSD65560 WBZ65555:WBZ65560 WLV65555:WLV65560 WVR65555:WVR65560 J131091:J131096 JF131091:JF131096 TB131091:TB131096 ACX131091:ACX131096 AMT131091:AMT131096 AWP131091:AWP131096 BGL131091:BGL131096 BQH131091:BQH131096 CAD131091:CAD131096 CJZ131091:CJZ131096 CTV131091:CTV131096 DDR131091:DDR131096 DNN131091:DNN131096 DXJ131091:DXJ131096 EHF131091:EHF131096 ERB131091:ERB131096 FAX131091:FAX131096 FKT131091:FKT131096 FUP131091:FUP131096 GEL131091:GEL131096 GOH131091:GOH131096 GYD131091:GYD131096 HHZ131091:HHZ131096 HRV131091:HRV131096 IBR131091:IBR131096 ILN131091:ILN131096 IVJ131091:IVJ131096 JFF131091:JFF131096 JPB131091:JPB131096 JYX131091:JYX131096 KIT131091:KIT131096 KSP131091:KSP131096 LCL131091:LCL131096 LMH131091:LMH131096 LWD131091:LWD131096 MFZ131091:MFZ131096 MPV131091:MPV131096 MZR131091:MZR131096 NJN131091:NJN131096 NTJ131091:NTJ131096 ODF131091:ODF131096 ONB131091:ONB131096 OWX131091:OWX131096 PGT131091:PGT131096 PQP131091:PQP131096 QAL131091:QAL131096 QKH131091:QKH131096 QUD131091:QUD131096 RDZ131091:RDZ131096 RNV131091:RNV131096 RXR131091:RXR131096 SHN131091:SHN131096 SRJ131091:SRJ131096 TBF131091:TBF131096 TLB131091:TLB131096 TUX131091:TUX131096 UET131091:UET131096 UOP131091:UOP131096 UYL131091:UYL131096 VIH131091:VIH131096 VSD131091:VSD131096 WBZ131091:WBZ131096 WLV131091:WLV131096 WVR131091:WVR131096 J196627:J196632 JF196627:JF196632 TB196627:TB196632 ACX196627:ACX196632 AMT196627:AMT196632 AWP196627:AWP196632 BGL196627:BGL196632 BQH196627:BQH196632 CAD196627:CAD196632 CJZ196627:CJZ196632 CTV196627:CTV196632 DDR196627:DDR196632 DNN196627:DNN196632 DXJ196627:DXJ196632 EHF196627:EHF196632 ERB196627:ERB196632 FAX196627:FAX196632 FKT196627:FKT196632 FUP196627:FUP196632 GEL196627:GEL196632 GOH196627:GOH196632 GYD196627:GYD196632 HHZ196627:HHZ196632 HRV196627:HRV196632 IBR196627:IBR196632 ILN196627:ILN196632 IVJ196627:IVJ196632 JFF196627:JFF196632 JPB196627:JPB196632 JYX196627:JYX196632 KIT196627:KIT196632 KSP196627:KSP196632 LCL196627:LCL196632 LMH196627:LMH196632 LWD196627:LWD196632 MFZ196627:MFZ196632 MPV196627:MPV196632 MZR196627:MZR196632 NJN196627:NJN196632 NTJ196627:NTJ196632 ODF196627:ODF196632 ONB196627:ONB196632 OWX196627:OWX196632 PGT196627:PGT196632 PQP196627:PQP196632 QAL196627:QAL196632 QKH196627:QKH196632 QUD196627:QUD196632 RDZ196627:RDZ196632 RNV196627:RNV196632 RXR196627:RXR196632 SHN196627:SHN196632 SRJ196627:SRJ196632 TBF196627:TBF196632 TLB196627:TLB196632 TUX196627:TUX196632 UET196627:UET196632 UOP196627:UOP196632 UYL196627:UYL196632 VIH196627:VIH196632 VSD196627:VSD196632 WBZ196627:WBZ196632 WLV196627:WLV196632 WVR196627:WVR196632 J262163:J262168 JF262163:JF262168 TB262163:TB262168 ACX262163:ACX262168 AMT262163:AMT262168 AWP262163:AWP262168 BGL262163:BGL262168 BQH262163:BQH262168 CAD262163:CAD262168 CJZ262163:CJZ262168 CTV262163:CTV262168 DDR262163:DDR262168 DNN262163:DNN262168 DXJ262163:DXJ262168 EHF262163:EHF262168 ERB262163:ERB262168 FAX262163:FAX262168 FKT262163:FKT262168 FUP262163:FUP262168 GEL262163:GEL262168 GOH262163:GOH262168 GYD262163:GYD262168 HHZ262163:HHZ262168 HRV262163:HRV262168 IBR262163:IBR262168 ILN262163:ILN262168 IVJ262163:IVJ262168 JFF262163:JFF262168 JPB262163:JPB262168 JYX262163:JYX262168 KIT262163:KIT262168 KSP262163:KSP262168 LCL262163:LCL262168 LMH262163:LMH262168 LWD262163:LWD262168 MFZ262163:MFZ262168 MPV262163:MPV262168 MZR262163:MZR262168 NJN262163:NJN262168 NTJ262163:NTJ262168 ODF262163:ODF262168 ONB262163:ONB262168 OWX262163:OWX262168 PGT262163:PGT262168 PQP262163:PQP262168 QAL262163:QAL262168 QKH262163:QKH262168 QUD262163:QUD262168 RDZ262163:RDZ262168 RNV262163:RNV262168 RXR262163:RXR262168 SHN262163:SHN262168 SRJ262163:SRJ262168 TBF262163:TBF262168 TLB262163:TLB262168 TUX262163:TUX262168 UET262163:UET262168 UOP262163:UOP262168 UYL262163:UYL262168 VIH262163:VIH262168 VSD262163:VSD262168 WBZ262163:WBZ262168 WLV262163:WLV262168 WVR262163:WVR262168 J327699:J327704 JF327699:JF327704 TB327699:TB327704 ACX327699:ACX327704 AMT327699:AMT327704 AWP327699:AWP327704 BGL327699:BGL327704 BQH327699:BQH327704 CAD327699:CAD327704 CJZ327699:CJZ327704 CTV327699:CTV327704 DDR327699:DDR327704 DNN327699:DNN327704 DXJ327699:DXJ327704 EHF327699:EHF327704 ERB327699:ERB327704 FAX327699:FAX327704 FKT327699:FKT327704 FUP327699:FUP327704 GEL327699:GEL327704 GOH327699:GOH327704 GYD327699:GYD327704 HHZ327699:HHZ327704 HRV327699:HRV327704 IBR327699:IBR327704 ILN327699:ILN327704 IVJ327699:IVJ327704 JFF327699:JFF327704 JPB327699:JPB327704 JYX327699:JYX327704 KIT327699:KIT327704 KSP327699:KSP327704 LCL327699:LCL327704 LMH327699:LMH327704 LWD327699:LWD327704 MFZ327699:MFZ327704 MPV327699:MPV327704 MZR327699:MZR327704 NJN327699:NJN327704 NTJ327699:NTJ327704 ODF327699:ODF327704 ONB327699:ONB327704 OWX327699:OWX327704 PGT327699:PGT327704 PQP327699:PQP327704 QAL327699:QAL327704 QKH327699:QKH327704 QUD327699:QUD327704 RDZ327699:RDZ327704 RNV327699:RNV327704 RXR327699:RXR327704 SHN327699:SHN327704 SRJ327699:SRJ327704 TBF327699:TBF327704 TLB327699:TLB327704 TUX327699:TUX327704 UET327699:UET327704 UOP327699:UOP327704 UYL327699:UYL327704 VIH327699:VIH327704 VSD327699:VSD327704 WBZ327699:WBZ327704 WLV327699:WLV327704 WVR327699:WVR327704 J393235:J393240 JF393235:JF393240 TB393235:TB393240 ACX393235:ACX393240 AMT393235:AMT393240 AWP393235:AWP393240 BGL393235:BGL393240 BQH393235:BQH393240 CAD393235:CAD393240 CJZ393235:CJZ393240 CTV393235:CTV393240 DDR393235:DDR393240 DNN393235:DNN393240 DXJ393235:DXJ393240 EHF393235:EHF393240 ERB393235:ERB393240 FAX393235:FAX393240 FKT393235:FKT393240 FUP393235:FUP393240 GEL393235:GEL393240 GOH393235:GOH393240 GYD393235:GYD393240 HHZ393235:HHZ393240 HRV393235:HRV393240 IBR393235:IBR393240 ILN393235:ILN393240 IVJ393235:IVJ393240 JFF393235:JFF393240 JPB393235:JPB393240 JYX393235:JYX393240 KIT393235:KIT393240 KSP393235:KSP393240 LCL393235:LCL393240 LMH393235:LMH393240 LWD393235:LWD393240 MFZ393235:MFZ393240 MPV393235:MPV393240 MZR393235:MZR393240 NJN393235:NJN393240 NTJ393235:NTJ393240 ODF393235:ODF393240 ONB393235:ONB393240 OWX393235:OWX393240 PGT393235:PGT393240 PQP393235:PQP393240 QAL393235:QAL393240 QKH393235:QKH393240 QUD393235:QUD393240 RDZ393235:RDZ393240 RNV393235:RNV393240 RXR393235:RXR393240 SHN393235:SHN393240 SRJ393235:SRJ393240 TBF393235:TBF393240 TLB393235:TLB393240 TUX393235:TUX393240 UET393235:UET393240 UOP393235:UOP393240 UYL393235:UYL393240 VIH393235:VIH393240 VSD393235:VSD393240 WBZ393235:WBZ393240 WLV393235:WLV393240 WVR393235:WVR393240 J458771:J458776 JF458771:JF458776 TB458771:TB458776 ACX458771:ACX458776 AMT458771:AMT458776 AWP458771:AWP458776 BGL458771:BGL458776 BQH458771:BQH458776 CAD458771:CAD458776 CJZ458771:CJZ458776 CTV458771:CTV458776 DDR458771:DDR458776 DNN458771:DNN458776 DXJ458771:DXJ458776 EHF458771:EHF458776 ERB458771:ERB458776 FAX458771:FAX458776 FKT458771:FKT458776 FUP458771:FUP458776 GEL458771:GEL458776 GOH458771:GOH458776 GYD458771:GYD458776 HHZ458771:HHZ458776 HRV458771:HRV458776 IBR458771:IBR458776 ILN458771:ILN458776 IVJ458771:IVJ458776 JFF458771:JFF458776 JPB458771:JPB458776 JYX458771:JYX458776 KIT458771:KIT458776 KSP458771:KSP458776 LCL458771:LCL458776 LMH458771:LMH458776 LWD458771:LWD458776 MFZ458771:MFZ458776 MPV458771:MPV458776 MZR458771:MZR458776 NJN458771:NJN458776 NTJ458771:NTJ458776 ODF458771:ODF458776 ONB458771:ONB458776 OWX458771:OWX458776 PGT458771:PGT458776 PQP458771:PQP458776 QAL458771:QAL458776 QKH458771:QKH458776 QUD458771:QUD458776 RDZ458771:RDZ458776 RNV458771:RNV458776 RXR458771:RXR458776 SHN458771:SHN458776 SRJ458771:SRJ458776 TBF458771:TBF458776 TLB458771:TLB458776 TUX458771:TUX458776 UET458771:UET458776 UOP458771:UOP458776 UYL458771:UYL458776 VIH458771:VIH458776 VSD458771:VSD458776 WBZ458771:WBZ458776 WLV458771:WLV458776 WVR458771:WVR458776 J524307:J524312 JF524307:JF524312 TB524307:TB524312 ACX524307:ACX524312 AMT524307:AMT524312 AWP524307:AWP524312 BGL524307:BGL524312 BQH524307:BQH524312 CAD524307:CAD524312 CJZ524307:CJZ524312 CTV524307:CTV524312 DDR524307:DDR524312 DNN524307:DNN524312 DXJ524307:DXJ524312 EHF524307:EHF524312 ERB524307:ERB524312 FAX524307:FAX524312 FKT524307:FKT524312 FUP524307:FUP524312 GEL524307:GEL524312 GOH524307:GOH524312 GYD524307:GYD524312 HHZ524307:HHZ524312 HRV524307:HRV524312 IBR524307:IBR524312 ILN524307:ILN524312 IVJ524307:IVJ524312 JFF524307:JFF524312 JPB524307:JPB524312 JYX524307:JYX524312 KIT524307:KIT524312 KSP524307:KSP524312 LCL524307:LCL524312 LMH524307:LMH524312 LWD524307:LWD524312 MFZ524307:MFZ524312 MPV524307:MPV524312 MZR524307:MZR524312 NJN524307:NJN524312 NTJ524307:NTJ524312 ODF524307:ODF524312 ONB524307:ONB524312 OWX524307:OWX524312 PGT524307:PGT524312 PQP524307:PQP524312 QAL524307:QAL524312 QKH524307:QKH524312 QUD524307:QUD524312 RDZ524307:RDZ524312 RNV524307:RNV524312 RXR524307:RXR524312 SHN524307:SHN524312 SRJ524307:SRJ524312 TBF524307:TBF524312 TLB524307:TLB524312 TUX524307:TUX524312 UET524307:UET524312 UOP524307:UOP524312 UYL524307:UYL524312 VIH524307:VIH524312 VSD524307:VSD524312 WBZ524307:WBZ524312 WLV524307:WLV524312 WVR524307:WVR524312 J589843:J589848 JF589843:JF589848 TB589843:TB589848 ACX589843:ACX589848 AMT589843:AMT589848 AWP589843:AWP589848 BGL589843:BGL589848 BQH589843:BQH589848 CAD589843:CAD589848 CJZ589843:CJZ589848 CTV589843:CTV589848 DDR589843:DDR589848 DNN589843:DNN589848 DXJ589843:DXJ589848 EHF589843:EHF589848 ERB589843:ERB589848 FAX589843:FAX589848 FKT589843:FKT589848 FUP589843:FUP589848 GEL589843:GEL589848 GOH589843:GOH589848 GYD589843:GYD589848 HHZ589843:HHZ589848 HRV589843:HRV589848 IBR589843:IBR589848 ILN589843:ILN589848 IVJ589843:IVJ589848 JFF589843:JFF589848 JPB589843:JPB589848 JYX589843:JYX589848 KIT589843:KIT589848 KSP589843:KSP589848 LCL589843:LCL589848 LMH589843:LMH589848 LWD589843:LWD589848 MFZ589843:MFZ589848 MPV589843:MPV589848 MZR589843:MZR589848 NJN589843:NJN589848 NTJ589843:NTJ589848 ODF589843:ODF589848 ONB589843:ONB589848 OWX589843:OWX589848 PGT589843:PGT589848 PQP589843:PQP589848 QAL589843:QAL589848 QKH589843:QKH589848 QUD589843:QUD589848 RDZ589843:RDZ589848 RNV589843:RNV589848 RXR589843:RXR589848 SHN589843:SHN589848 SRJ589843:SRJ589848 TBF589843:TBF589848 TLB589843:TLB589848 TUX589843:TUX589848 UET589843:UET589848 UOP589843:UOP589848 UYL589843:UYL589848 VIH589843:VIH589848 VSD589843:VSD589848 WBZ589843:WBZ589848 WLV589843:WLV589848 WVR589843:WVR589848 J655379:J655384 JF655379:JF655384 TB655379:TB655384 ACX655379:ACX655384 AMT655379:AMT655384 AWP655379:AWP655384 BGL655379:BGL655384 BQH655379:BQH655384 CAD655379:CAD655384 CJZ655379:CJZ655384 CTV655379:CTV655384 DDR655379:DDR655384 DNN655379:DNN655384 DXJ655379:DXJ655384 EHF655379:EHF655384 ERB655379:ERB655384 FAX655379:FAX655384 FKT655379:FKT655384 FUP655379:FUP655384 GEL655379:GEL655384 GOH655379:GOH655384 GYD655379:GYD655384 HHZ655379:HHZ655384 HRV655379:HRV655384 IBR655379:IBR655384 ILN655379:ILN655384 IVJ655379:IVJ655384 JFF655379:JFF655384 JPB655379:JPB655384 JYX655379:JYX655384 KIT655379:KIT655384 KSP655379:KSP655384 LCL655379:LCL655384 LMH655379:LMH655384 LWD655379:LWD655384 MFZ655379:MFZ655384 MPV655379:MPV655384 MZR655379:MZR655384 NJN655379:NJN655384 NTJ655379:NTJ655384 ODF655379:ODF655384 ONB655379:ONB655384 OWX655379:OWX655384 PGT655379:PGT655384 PQP655379:PQP655384 QAL655379:QAL655384 QKH655379:QKH655384 QUD655379:QUD655384 RDZ655379:RDZ655384 RNV655379:RNV655384 RXR655379:RXR655384 SHN655379:SHN655384 SRJ655379:SRJ655384 TBF655379:TBF655384 TLB655379:TLB655384 TUX655379:TUX655384 UET655379:UET655384 UOP655379:UOP655384 UYL655379:UYL655384 VIH655379:VIH655384 VSD655379:VSD655384 WBZ655379:WBZ655384 WLV655379:WLV655384 WVR655379:WVR655384 J720915:J720920 JF720915:JF720920 TB720915:TB720920 ACX720915:ACX720920 AMT720915:AMT720920 AWP720915:AWP720920 BGL720915:BGL720920 BQH720915:BQH720920 CAD720915:CAD720920 CJZ720915:CJZ720920 CTV720915:CTV720920 DDR720915:DDR720920 DNN720915:DNN720920 DXJ720915:DXJ720920 EHF720915:EHF720920 ERB720915:ERB720920 FAX720915:FAX720920 FKT720915:FKT720920 FUP720915:FUP720920 GEL720915:GEL720920 GOH720915:GOH720920 GYD720915:GYD720920 HHZ720915:HHZ720920 HRV720915:HRV720920 IBR720915:IBR720920 ILN720915:ILN720920 IVJ720915:IVJ720920 JFF720915:JFF720920 JPB720915:JPB720920 JYX720915:JYX720920 KIT720915:KIT720920 KSP720915:KSP720920 LCL720915:LCL720920 LMH720915:LMH720920 LWD720915:LWD720920 MFZ720915:MFZ720920 MPV720915:MPV720920 MZR720915:MZR720920 NJN720915:NJN720920 NTJ720915:NTJ720920 ODF720915:ODF720920 ONB720915:ONB720920 OWX720915:OWX720920 PGT720915:PGT720920 PQP720915:PQP720920 QAL720915:QAL720920 QKH720915:QKH720920 QUD720915:QUD720920 RDZ720915:RDZ720920 RNV720915:RNV720920 RXR720915:RXR720920 SHN720915:SHN720920 SRJ720915:SRJ720920 TBF720915:TBF720920 TLB720915:TLB720920 TUX720915:TUX720920 UET720915:UET720920 UOP720915:UOP720920 UYL720915:UYL720920 VIH720915:VIH720920 VSD720915:VSD720920 WBZ720915:WBZ720920 WLV720915:WLV720920 WVR720915:WVR720920 J786451:J786456 JF786451:JF786456 TB786451:TB786456 ACX786451:ACX786456 AMT786451:AMT786456 AWP786451:AWP786456 BGL786451:BGL786456 BQH786451:BQH786456 CAD786451:CAD786456 CJZ786451:CJZ786456 CTV786451:CTV786456 DDR786451:DDR786456 DNN786451:DNN786456 DXJ786451:DXJ786456 EHF786451:EHF786456 ERB786451:ERB786456 FAX786451:FAX786456 FKT786451:FKT786456 FUP786451:FUP786456 GEL786451:GEL786456 GOH786451:GOH786456 GYD786451:GYD786456 HHZ786451:HHZ786456 HRV786451:HRV786456 IBR786451:IBR786456 ILN786451:ILN786456 IVJ786451:IVJ786456 JFF786451:JFF786456 JPB786451:JPB786456 JYX786451:JYX786456 KIT786451:KIT786456 KSP786451:KSP786456 LCL786451:LCL786456 LMH786451:LMH786456 LWD786451:LWD786456 MFZ786451:MFZ786456 MPV786451:MPV786456 MZR786451:MZR786456 NJN786451:NJN786456 NTJ786451:NTJ786456 ODF786451:ODF786456 ONB786451:ONB786456 OWX786451:OWX786456 PGT786451:PGT786456 PQP786451:PQP786456 QAL786451:QAL786456 QKH786451:QKH786456 QUD786451:QUD786456 RDZ786451:RDZ786456 RNV786451:RNV786456 RXR786451:RXR786456 SHN786451:SHN786456 SRJ786451:SRJ786456 TBF786451:TBF786456 TLB786451:TLB786456 TUX786451:TUX786456 UET786451:UET786456 UOP786451:UOP786456 UYL786451:UYL786456 VIH786451:VIH786456 VSD786451:VSD786456 WBZ786451:WBZ786456 WLV786451:WLV786456 WVR786451:WVR786456 J851987:J851992 JF851987:JF851992 TB851987:TB851992 ACX851987:ACX851992 AMT851987:AMT851992 AWP851987:AWP851992 BGL851987:BGL851992 BQH851987:BQH851992 CAD851987:CAD851992 CJZ851987:CJZ851992 CTV851987:CTV851992 DDR851987:DDR851992 DNN851987:DNN851992 DXJ851987:DXJ851992 EHF851987:EHF851992 ERB851987:ERB851992 FAX851987:FAX851992 FKT851987:FKT851992 FUP851987:FUP851992 GEL851987:GEL851992 GOH851987:GOH851992 GYD851987:GYD851992 HHZ851987:HHZ851992 HRV851987:HRV851992 IBR851987:IBR851992 ILN851987:ILN851992 IVJ851987:IVJ851992 JFF851987:JFF851992 JPB851987:JPB851992 JYX851987:JYX851992 KIT851987:KIT851992 KSP851987:KSP851992 LCL851987:LCL851992 LMH851987:LMH851992 LWD851987:LWD851992 MFZ851987:MFZ851992 MPV851987:MPV851992 MZR851987:MZR851992 NJN851987:NJN851992 NTJ851987:NTJ851992 ODF851987:ODF851992 ONB851987:ONB851992 OWX851987:OWX851992 PGT851987:PGT851992 PQP851987:PQP851992 QAL851987:QAL851992 QKH851987:QKH851992 QUD851987:QUD851992 RDZ851987:RDZ851992 RNV851987:RNV851992 RXR851987:RXR851992 SHN851987:SHN851992 SRJ851987:SRJ851992 TBF851987:TBF851992 TLB851987:TLB851992 TUX851987:TUX851992 UET851987:UET851992 UOP851987:UOP851992 UYL851987:UYL851992 VIH851987:VIH851992 VSD851987:VSD851992 WBZ851987:WBZ851992 WLV851987:WLV851992 WVR851987:WVR851992 J917523:J917528 JF917523:JF917528 TB917523:TB917528 ACX917523:ACX917528 AMT917523:AMT917528 AWP917523:AWP917528 BGL917523:BGL917528 BQH917523:BQH917528 CAD917523:CAD917528 CJZ917523:CJZ917528 CTV917523:CTV917528 DDR917523:DDR917528 DNN917523:DNN917528 DXJ917523:DXJ917528 EHF917523:EHF917528 ERB917523:ERB917528 FAX917523:FAX917528 FKT917523:FKT917528 FUP917523:FUP917528 GEL917523:GEL917528 GOH917523:GOH917528 GYD917523:GYD917528 HHZ917523:HHZ917528 HRV917523:HRV917528 IBR917523:IBR917528 ILN917523:ILN917528 IVJ917523:IVJ917528 JFF917523:JFF917528 JPB917523:JPB917528 JYX917523:JYX917528 KIT917523:KIT917528 KSP917523:KSP917528 LCL917523:LCL917528 LMH917523:LMH917528 LWD917523:LWD917528 MFZ917523:MFZ917528 MPV917523:MPV917528 MZR917523:MZR917528 NJN917523:NJN917528 NTJ917523:NTJ917528 ODF917523:ODF917528 ONB917523:ONB917528 OWX917523:OWX917528 PGT917523:PGT917528 PQP917523:PQP917528 QAL917523:QAL917528 QKH917523:QKH917528 QUD917523:QUD917528 RDZ917523:RDZ917528 RNV917523:RNV917528 RXR917523:RXR917528 SHN917523:SHN917528 SRJ917523:SRJ917528 TBF917523:TBF917528 TLB917523:TLB917528 TUX917523:TUX917528 UET917523:UET917528 UOP917523:UOP917528 UYL917523:UYL917528 VIH917523:VIH917528 VSD917523:VSD917528 WBZ917523:WBZ917528 WLV917523:WLV917528 WVR917523:WVR917528 J983059:J983064 JF983059:JF983064 TB983059:TB983064 ACX983059:ACX983064 AMT983059:AMT983064 AWP983059:AWP983064 BGL983059:BGL983064 BQH983059:BQH983064 CAD983059:CAD983064 CJZ983059:CJZ983064 CTV983059:CTV983064 DDR983059:DDR983064 DNN983059:DNN983064 DXJ983059:DXJ983064 EHF983059:EHF983064 ERB983059:ERB983064 FAX983059:FAX983064 FKT983059:FKT983064 FUP983059:FUP983064 GEL983059:GEL983064 GOH983059:GOH983064 GYD983059:GYD983064 HHZ983059:HHZ983064 HRV983059:HRV983064 IBR983059:IBR983064 ILN983059:ILN983064 IVJ983059:IVJ983064 JFF983059:JFF983064 JPB983059:JPB983064 JYX983059:JYX983064 KIT983059:KIT983064 KSP983059:KSP983064 LCL983059:LCL983064 LMH983059:LMH983064 LWD983059:LWD983064 MFZ983059:MFZ983064 MPV983059:MPV983064 MZR983059:MZR983064 NJN983059:NJN983064 NTJ983059:NTJ983064 ODF983059:ODF983064 ONB983059:ONB983064 OWX983059:OWX983064 PGT983059:PGT983064 PQP983059:PQP983064 QAL983059:QAL983064 QKH983059:QKH983064 QUD983059:QUD983064 RDZ983059:RDZ983064 RNV983059:RNV983064 RXR983059:RXR983064 SHN983059:SHN983064 SRJ983059:SRJ983064 TBF983059:TBF983064 TLB983059:TLB983064 TUX983059:TUX983064 UET983059:UET983064 UOP983059:UOP983064 UYL983059:UYL983064 VIH983059:VIH983064 VSD983059:VSD983064 WBZ983059:WBZ983064 WLV983059:WLV983064 WVR983059:WVR983064 J65562:J65575 JF65562:JF65575 TB65562:TB65575 ACX65562:ACX65575 AMT65562:AMT65575 AWP65562:AWP65575 BGL65562:BGL65575 BQH65562:BQH65575 CAD65562:CAD65575 CJZ65562:CJZ65575 CTV65562:CTV65575 DDR65562:DDR65575 DNN65562:DNN65575 DXJ65562:DXJ65575 EHF65562:EHF65575 ERB65562:ERB65575 FAX65562:FAX65575 FKT65562:FKT65575 FUP65562:FUP65575 GEL65562:GEL65575 GOH65562:GOH65575 GYD65562:GYD65575 HHZ65562:HHZ65575 HRV65562:HRV65575 IBR65562:IBR65575 ILN65562:ILN65575 IVJ65562:IVJ65575 JFF65562:JFF65575 JPB65562:JPB65575 JYX65562:JYX65575 KIT65562:KIT65575 KSP65562:KSP65575 LCL65562:LCL65575 LMH65562:LMH65575 LWD65562:LWD65575 MFZ65562:MFZ65575 MPV65562:MPV65575 MZR65562:MZR65575 NJN65562:NJN65575 NTJ65562:NTJ65575 ODF65562:ODF65575 ONB65562:ONB65575 OWX65562:OWX65575 PGT65562:PGT65575 PQP65562:PQP65575 QAL65562:QAL65575 QKH65562:QKH65575 QUD65562:QUD65575 RDZ65562:RDZ65575 RNV65562:RNV65575 RXR65562:RXR65575 SHN65562:SHN65575 SRJ65562:SRJ65575 TBF65562:TBF65575 TLB65562:TLB65575 TUX65562:TUX65575 UET65562:UET65575 UOP65562:UOP65575 UYL65562:UYL65575 VIH65562:VIH65575 VSD65562:VSD65575 WBZ65562:WBZ65575 WLV65562:WLV65575 WVR65562:WVR65575 J131098:J131111 JF131098:JF131111 TB131098:TB131111 ACX131098:ACX131111 AMT131098:AMT131111 AWP131098:AWP131111 BGL131098:BGL131111 BQH131098:BQH131111 CAD131098:CAD131111 CJZ131098:CJZ131111 CTV131098:CTV131111 DDR131098:DDR131111 DNN131098:DNN131111 DXJ131098:DXJ131111 EHF131098:EHF131111 ERB131098:ERB131111 FAX131098:FAX131111 FKT131098:FKT131111 FUP131098:FUP131111 GEL131098:GEL131111 GOH131098:GOH131111 GYD131098:GYD131111 HHZ131098:HHZ131111 HRV131098:HRV131111 IBR131098:IBR131111 ILN131098:ILN131111 IVJ131098:IVJ131111 JFF131098:JFF131111 JPB131098:JPB131111 JYX131098:JYX131111 KIT131098:KIT131111 KSP131098:KSP131111 LCL131098:LCL131111 LMH131098:LMH131111 LWD131098:LWD131111 MFZ131098:MFZ131111 MPV131098:MPV131111 MZR131098:MZR131111 NJN131098:NJN131111 NTJ131098:NTJ131111 ODF131098:ODF131111 ONB131098:ONB131111 OWX131098:OWX131111 PGT131098:PGT131111 PQP131098:PQP131111 QAL131098:QAL131111 QKH131098:QKH131111 QUD131098:QUD131111 RDZ131098:RDZ131111 RNV131098:RNV131111 RXR131098:RXR131111 SHN131098:SHN131111 SRJ131098:SRJ131111 TBF131098:TBF131111 TLB131098:TLB131111 TUX131098:TUX131111 UET131098:UET131111 UOP131098:UOP131111 UYL131098:UYL131111 VIH131098:VIH131111 VSD131098:VSD131111 WBZ131098:WBZ131111 WLV131098:WLV131111 WVR131098:WVR131111 J196634:J196647 JF196634:JF196647 TB196634:TB196647 ACX196634:ACX196647 AMT196634:AMT196647 AWP196634:AWP196647 BGL196634:BGL196647 BQH196634:BQH196647 CAD196634:CAD196647 CJZ196634:CJZ196647 CTV196634:CTV196647 DDR196634:DDR196647 DNN196634:DNN196647 DXJ196634:DXJ196647 EHF196634:EHF196647 ERB196634:ERB196647 FAX196634:FAX196647 FKT196634:FKT196647 FUP196634:FUP196647 GEL196634:GEL196647 GOH196634:GOH196647 GYD196634:GYD196647 HHZ196634:HHZ196647 HRV196634:HRV196647 IBR196634:IBR196647 ILN196634:ILN196647 IVJ196634:IVJ196647 JFF196634:JFF196647 JPB196634:JPB196647 JYX196634:JYX196647 KIT196634:KIT196647 KSP196634:KSP196647 LCL196634:LCL196647 LMH196634:LMH196647 LWD196634:LWD196647 MFZ196634:MFZ196647 MPV196634:MPV196647 MZR196634:MZR196647 NJN196634:NJN196647 NTJ196634:NTJ196647 ODF196634:ODF196647 ONB196634:ONB196647 OWX196634:OWX196647 PGT196634:PGT196647 PQP196634:PQP196647 QAL196634:QAL196647 QKH196634:QKH196647 QUD196634:QUD196647 RDZ196634:RDZ196647 RNV196634:RNV196647 RXR196634:RXR196647 SHN196634:SHN196647 SRJ196634:SRJ196647 TBF196634:TBF196647 TLB196634:TLB196647 TUX196634:TUX196647 UET196634:UET196647 UOP196634:UOP196647 UYL196634:UYL196647 VIH196634:VIH196647 VSD196634:VSD196647 WBZ196634:WBZ196647 WLV196634:WLV196647 WVR196634:WVR196647 J262170:J262183 JF262170:JF262183 TB262170:TB262183 ACX262170:ACX262183 AMT262170:AMT262183 AWP262170:AWP262183 BGL262170:BGL262183 BQH262170:BQH262183 CAD262170:CAD262183 CJZ262170:CJZ262183 CTV262170:CTV262183 DDR262170:DDR262183 DNN262170:DNN262183 DXJ262170:DXJ262183 EHF262170:EHF262183 ERB262170:ERB262183 FAX262170:FAX262183 FKT262170:FKT262183 FUP262170:FUP262183 GEL262170:GEL262183 GOH262170:GOH262183 GYD262170:GYD262183 HHZ262170:HHZ262183 HRV262170:HRV262183 IBR262170:IBR262183 ILN262170:ILN262183 IVJ262170:IVJ262183 JFF262170:JFF262183 JPB262170:JPB262183 JYX262170:JYX262183 KIT262170:KIT262183 KSP262170:KSP262183 LCL262170:LCL262183 LMH262170:LMH262183 LWD262170:LWD262183 MFZ262170:MFZ262183 MPV262170:MPV262183 MZR262170:MZR262183 NJN262170:NJN262183 NTJ262170:NTJ262183 ODF262170:ODF262183 ONB262170:ONB262183 OWX262170:OWX262183 PGT262170:PGT262183 PQP262170:PQP262183 QAL262170:QAL262183 QKH262170:QKH262183 QUD262170:QUD262183 RDZ262170:RDZ262183 RNV262170:RNV262183 RXR262170:RXR262183 SHN262170:SHN262183 SRJ262170:SRJ262183 TBF262170:TBF262183 TLB262170:TLB262183 TUX262170:TUX262183 UET262170:UET262183 UOP262170:UOP262183 UYL262170:UYL262183 VIH262170:VIH262183 VSD262170:VSD262183 WBZ262170:WBZ262183 WLV262170:WLV262183 WVR262170:WVR262183 J327706:J327719 JF327706:JF327719 TB327706:TB327719 ACX327706:ACX327719 AMT327706:AMT327719 AWP327706:AWP327719 BGL327706:BGL327719 BQH327706:BQH327719 CAD327706:CAD327719 CJZ327706:CJZ327719 CTV327706:CTV327719 DDR327706:DDR327719 DNN327706:DNN327719 DXJ327706:DXJ327719 EHF327706:EHF327719 ERB327706:ERB327719 FAX327706:FAX327719 FKT327706:FKT327719 FUP327706:FUP327719 GEL327706:GEL327719 GOH327706:GOH327719 GYD327706:GYD327719 HHZ327706:HHZ327719 HRV327706:HRV327719 IBR327706:IBR327719 ILN327706:ILN327719 IVJ327706:IVJ327719 JFF327706:JFF327719 JPB327706:JPB327719 JYX327706:JYX327719 KIT327706:KIT327719 KSP327706:KSP327719 LCL327706:LCL327719 LMH327706:LMH327719 LWD327706:LWD327719 MFZ327706:MFZ327719 MPV327706:MPV327719 MZR327706:MZR327719 NJN327706:NJN327719 NTJ327706:NTJ327719 ODF327706:ODF327719 ONB327706:ONB327719 OWX327706:OWX327719 PGT327706:PGT327719 PQP327706:PQP327719 QAL327706:QAL327719 QKH327706:QKH327719 QUD327706:QUD327719 RDZ327706:RDZ327719 RNV327706:RNV327719 RXR327706:RXR327719 SHN327706:SHN327719 SRJ327706:SRJ327719 TBF327706:TBF327719 TLB327706:TLB327719 TUX327706:TUX327719 UET327706:UET327719 UOP327706:UOP327719 UYL327706:UYL327719 VIH327706:VIH327719 VSD327706:VSD327719 WBZ327706:WBZ327719 WLV327706:WLV327719 WVR327706:WVR327719 J393242:J393255 JF393242:JF393255 TB393242:TB393255 ACX393242:ACX393255 AMT393242:AMT393255 AWP393242:AWP393255 BGL393242:BGL393255 BQH393242:BQH393255 CAD393242:CAD393255 CJZ393242:CJZ393255 CTV393242:CTV393255 DDR393242:DDR393255 DNN393242:DNN393255 DXJ393242:DXJ393255 EHF393242:EHF393255 ERB393242:ERB393255 FAX393242:FAX393255 FKT393242:FKT393255 FUP393242:FUP393255 GEL393242:GEL393255 GOH393242:GOH393255 GYD393242:GYD393255 HHZ393242:HHZ393255 HRV393242:HRV393255 IBR393242:IBR393255 ILN393242:ILN393255 IVJ393242:IVJ393255 JFF393242:JFF393255 JPB393242:JPB393255 JYX393242:JYX393255 KIT393242:KIT393255 KSP393242:KSP393255 LCL393242:LCL393255 LMH393242:LMH393255 LWD393242:LWD393255 MFZ393242:MFZ393255 MPV393242:MPV393255 MZR393242:MZR393255 NJN393242:NJN393255 NTJ393242:NTJ393255 ODF393242:ODF393255 ONB393242:ONB393255 OWX393242:OWX393255 PGT393242:PGT393255 PQP393242:PQP393255 QAL393242:QAL393255 QKH393242:QKH393255 QUD393242:QUD393255 RDZ393242:RDZ393255 RNV393242:RNV393255 RXR393242:RXR393255 SHN393242:SHN393255 SRJ393242:SRJ393255 TBF393242:TBF393255 TLB393242:TLB393255 TUX393242:TUX393255 UET393242:UET393255 UOP393242:UOP393255 UYL393242:UYL393255 VIH393242:VIH393255 VSD393242:VSD393255 WBZ393242:WBZ393255 WLV393242:WLV393255 WVR393242:WVR393255 J458778:J458791 JF458778:JF458791 TB458778:TB458791 ACX458778:ACX458791 AMT458778:AMT458791 AWP458778:AWP458791 BGL458778:BGL458791 BQH458778:BQH458791 CAD458778:CAD458791 CJZ458778:CJZ458791 CTV458778:CTV458791 DDR458778:DDR458791 DNN458778:DNN458791 DXJ458778:DXJ458791 EHF458778:EHF458791 ERB458778:ERB458791 FAX458778:FAX458791 FKT458778:FKT458791 FUP458778:FUP458791 GEL458778:GEL458791 GOH458778:GOH458791 GYD458778:GYD458791 HHZ458778:HHZ458791 HRV458778:HRV458791 IBR458778:IBR458791 ILN458778:ILN458791 IVJ458778:IVJ458791 JFF458778:JFF458791 JPB458778:JPB458791 JYX458778:JYX458791 KIT458778:KIT458791 KSP458778:KSP458791 LCL458778:LCL458791 LMH458778:LMH458791 LWD458778:LWD458791 MFZ458778:MFZ458791 MPV458778:MPV458791 MZR458778:MZR458791 NJN458778:NJN458791 NTJ458778:NTJ458791 ODF458778:ODF458791 ONB458778:ONB458791 OWX458778:OWX458791 PGT458778:PGT458791 PQP458778:PQP458791 QAL458778:QAL458791 QKH458778:QKH458791 QUD458778:QUD458791 RDZ458778:RDZ458791 RNV458778:RNV458791 RXR458778:RXR458791 SHN458778:SHN458791 SRJ458778:SRJ458791 TBF458778:TBF458791 TLB458778:TLB458791 TUX458778:TUX458791 UET458778:UET458791 UOP458778:UOP458791 UYL458778:UYL458791 VIH458778:VIH458791 VSD458778:VSD458791 WBZ458778:WBZ458791 WLV458778:WLV458791 WVR458778:WVR458791 J524314:J524327 JF524314:JF524327 TB524314:TB524327 ACX524314:ACX524327 AMT524314:AMT524327 AWP524314:AWP524327 BGL524314:BGL524327 BQH524314:BQH524327 CAD524314:CAD524327 CJZ524314:CJZ524327 CTV524314:CTV524327 DDR524314:DDR524327 DNN524314:DNN524327 DXJ524314:DXJ524327 EHF524314:EHF524327 ERB524314:ERB524327 FAX524314:FAX524327 FKT524314:FKT524327 FUP524314:FUP524327 GEL524314:GEL524327 GOH524314:GOH524327 GYD524314:GYD524327 HHZ524314:HHZ524327 HRV524314:HRV524327 IBR524314:IBR524327 ILN524314:ILN524327 IVJ524314:IVJ524327 JFF524314:JFF524327 JPB524314:JPB524327 JYX524314:JYX524327 KIT524314:KIT524327 KSP524314:KSP524327 LCL524314:LCL524327 LMH524314:LMH524327 LWD524314:LWD524327 MFZ524314:MFZ524327 MPV524314:MPV524327 MZR524314:MZR524327 NJN524314:NJN524327 NTJ524314:NTJ524327 ODF524314:ODF524327 ONB524314:ONB524327 OWX524314:OWX524327 PGT524314:PGT524327 PQP524314:PQP524327 QAL524314:QAL524327 QKH524314:QKH524327 QUD524314:QUD524327 RDZ524314:RDZ524327 RNV524314:RNV524327 RXR524314:RXR524327 SHN524314:SHN524327 SRJ524314:SRJ524327 TBF524314:TBF524327 TLB524314:TLB524327 TUX524314:TUX524327 UET524314:UET524327 UOP524314:UOP524327 UYL524314:UYL524327 VIH524314:VIH524327 VSD524314:VSD524327 WBZ524314:WBZ524327 WLV524314:WLV524327 WVR524314:WVR524327 J589850:J589863 JF589850:JF589863 TB589850:TB589863 ACX589850:ACX589863 AMT589850:AMT589863 AWP589850:AWP589863 BGL589850:BGL589863 BQH589850:BQH589863 CAD589850:CAD589863 CJZ589850:CJZ589863 CTV589850:CTV589863 DDR589850:DDR589863 DNN589850:DNN589863 DXJ589850:DXJ589863 EHF589850:EHF589863 ERB589850:ERB589863 FAX589850:FAX589863 FKT589850:FKT589863 FUP589850:FUP589863 GEL589850:GEL589863 GOH589850:GOH589863 GYD589850:GYD589863 HHZ589850:HHZ589863 HRV589850:HRV589863 IBR589850:IBR589863 ILN589850:ILN589863 IVJ589850:IVJ589863 JFF589850:JFF589863 JPB589850:JPB589863 JYX589850:JYX589863 KIT589850:KIT589863 KSP589850:KSP589863 LCL589850:LCL589863 LMH589850:LMH589863 LWD589850:LWD589863 MFZ589850:MFZ589863 MPV589850:MPV589863 MZR589850:MZR589863 NJN589850:NJN589863 NTJ589850:NTJ589863 ODF589850:ODF589863 ONB589850:ONB589863 OWX589850:OWX589863 PGT589850:PGT589863 PQP589850:PQP589863 QAL589850:QAL589863 QKH589850:QKH589863 QUD589850:QUD589863 RDZ589850:RDZ589863 RNV589850:RNV589863 RXR589850:RXR589863 SHN589850:SHN589863 SRJ589850:SRJ589863 TBF589850:TBF589863 TLB589850:TLB589863 TUX589850:TUX589863 UET589850:UET589863 UOP589850:UOP589863 UYL589850:UYL589863 VIH589850:VIH589863 VSD589850:VSD589863 WBZ589850:WBZ589863 WLV589850:WLV589863 WVR589850:WVR589863 J655386:J655399 JF655386:JF655399 TB655386:TB655399 ACX655386:ACX655399 AMT655386:AMT655399 AWP655386:AWP655399 BGL655386:BGL655399 BQH655386:BQH655399 CAD655386:CAD655399 CJZ655386:CJZ655399 CTV655386:CTV655399 DDR655386:DDR655399 DNN655386:DNN655399 DXJ655386:DXJ655399 EHF655386:EHF655399 ERB655386:ERB655399 FAX655386:FAX655399 FKT655386:FKT655399 FUP655386:FUP655399 GEL655386:GEL655399 GOH655386:GOH655399 GYD655386:GYD655399 HHZ655386:HHZ655399 HRV655386:HRV655399 IBR655386:IBR655399 ILN655386:ILN655399 IVJ655386:IVJ655399 JFF655386:JFF655399 JPB655386:JPB655399 JYX655386:JYX655399 KIT655386:KIT655399 KSP655386:KSP655399 LCL655386:LCL655399 LMH655386:LMH655399 LWD655386:LWD655399 MFZ655386:MFZ655399 MPV655386:MPV655399 MZR655386:MZR655399 NJN655386:NJN655399 NTJ655386:NTJ655399 ODF655386:ODF655399 ONB655386:ONB655399 OWX655386:OWX655399 PGT655386:PGT655399 PQP655386:PQP655399 QAL655386:QAL655399 QKH655386:QKH655399 QUD655386:QUD655399 RDZ655386:RDZ655399 RNV655386:RNV655399 RXR655386:RXR655399 SHN655386:SHN655399 SRJ655386:SRJ655399 TBF655386:TBF655399 TLB655386:TLB655399 TUX655386:TUX655399 UET655386:UET655399 UOP655386:UOP655399 UYL655386:UYL655399 VIH655386:VIH655399 VSD655386:VSD655399 WBZ655386:WBZ655399 WLV655386:WLV655399 WVR655386:WVR655399 J720922:J720935 JF720922:JF720935 TB720922:TB720935 ACX720922:ACX720935 AMT720922:AMT720935 AWP720922:AWP720935 BGL720922:BGL720935 BQH720922:BQH720935 CAD720922:CAD720935 CJZ720922:CJZ720935 CTV720922:CTV720935 DDR720922:DDR720935 DNN720922:DNN720935 DXJ720922:DXJ720935 EHF720922:EHF720935 ERB720922:ERB720935 FAX720922:FAX720935 FKT720922:FKT720935 FUP720922:FUP720935 GEL720922:GEL720935 GOH720922:GOH720935 GYD720922:GYD720935 HHZ720922:HHZ720935 HRV720922:HRV720935 IBR720922:IBR720935 ILN720922:ILN720935 IVJ720922:IVJ720935 JFF720922:JFF720935 JPB720922:JPB720935 JYX720922:JYX720935 KIT720922:KIT720935 KSP720922:KSP720935 LCL720922:LCL720935 LMH720922:LMH720935 LWD720922:LWD720935 MFZ720922:MFZ720935 MPV720922:MPV720935 MZR720922:MZR720935 NJN720922:NJN720935 NTJ720922:NTJ720935 ODF720922:ODF720935 ONB720922:ONB720935 OWX720922:OWX720935 PGT720922:PGT720935 PQP720922:PQP720935 QAL720922:QAL720935 QKH720922:QKH720935 QUD720922:QUD720935 RDZ720922:RDZ720935 RNV720922:RNV720935 RXR720922:RXR720935 SHN720922:SHN720935 SRJ720922:SRJ720935 TBF720922:TBF720935 TLB720922:TLB720935 TUX720922:TUX720935 UET720922:UET720935 UOP720922:UOP720935 UYL720922:UYL720935 VIH720922:VIH720935 VSD720922:VSD720935 WBZ720922:WBZ720935 WLV720922:WLV720935 WVR720922:WVR720935 J786458:J786471 JF786458:JF786471 TB786458:TB786471 ACX786458:ACX786471 AMT786458:AMT786471 AWP786458:AWP786471 BGL786458:BGL786471 BQH786458:BQH786471 CAD786458:CAD786471 CJZ786458:CJZ786471 CTV786458:CTV786471 DDR786458:DDR786471 DNN786458:DNN786471 DXJ786458:DXJ786471 EHF786458:EHF786471 ERB786458:ERB786471 FAX786458:FAX786471 FKT786458:FKT786471 FUP786458:FUP786471 GEL786458:GEL786471 GOH786458:GOH786471 GYD786458:GYD786471 HHZ786458:HHZ786471 HRV786458:HRV786471 IBR786458:IBR786471 ILN786458:ILN786471 IVJ786458:IVJ786471 JFF786458:JFF786471 JPB786458:JPB786471 JYX786458:JYX786471 KIT786458:KIT786471 KSP786458:KSP786471 LCL786458:LCL786471 LMH786458:LMH786471 LWD786458:LWD786471 MFZ786458:MFZ786471 MPV786458:MPV786471 MZR786458:MZR786471 NJN786458:NJN786471 NTJ786458:NTJ786471 ODF786458:ODF786471 ONB786458:ONB786471 OWX786458:OWX786471 PGT786458:PGT786471 PQP786458:PQP786471 QAL786458:QAL786471 QKH786458:QKH786471 QUD786458:QUD786471 RDZ786458:RDZ786471 RNV786458:RNV786471 RXR786458:RXR786471 SHN786458:SHN786471 SRJ786458:SRJ786471 TBF786458:TBF786471 TLB786458:TLB786471 TUX786458:TUX786471 UET786458:UET786471 UOP786458:UOP786471 UYL786458:UYL786471 VIH786458:VIH786471 VSD786458:VSD786471 WBZ786458:WBZ786471 WLV786458:WLV786471 WVR786458:WVR786471 J851994:J852007 JF851994:JF852007 TB851994:TB852007 ACX851994:ACX852007 AMT851994:AMT852007 AWP851994:AWP852007 BGL851994:BGL852007 BQH851994:BQH852007 CAD851994:CAD852007 CJZ851994:CJZ852007 CTV851994:CTV852007 DDR851994:DDR852007 DNN851994:DNN852007 DXJ851994:DXJ852007 EHF851994:EHF852007 ERB851994:ERB852007 FAX851994:FAX852007 FKT851994:FKT852007 FUP851994:FUP852007 GEL851994:GEL852007 GOH851994:GOH852007 GYD851994:GYD852007 HHZ851994:HHZ852007 HRV851994:HRV852007 IBR851994:IBR852007 ILN851994:ILN852007 IVJ851994:IVJ852007 JFF851994:JFF852007 JPB851994:JPB852007 JYX851994:JYX852007 KIT851994:KIT852007 KSP851994:KSP852007 LCL851994:LCL852007 LMH851994:LMH852007 LWD851994:LWD852007 MFZ851994:MFZ852007 MPV851994:MPV852007 MZR851994:MZR852007 NJN851994:NJN852007 NTJ851994:NTJ852007 ODF851994:ODF852007 ONB851994:ONB852007 OWX851994:OWX852007 PGT851994:PGT852007 PQP851994:PQP852007 QAL851994:QAL852007 QKH851994:QKH852007 QUD851994:QUD852007 RDZ851994:RDZ852007 RNV851994:RNV852007 RXR851994:RXR852007 SHN851994:SHN852007 SRJ851994:SRJ852007 TBF851994:TBF852007 TLB851994:TLB852007 TUX851994:TUX852007 UET851994:UET852007 UOP851994:UOP852007 UYL851994:UYL852007 VIH851994:VIH852007 VSD851994:VSD852007 WBZ851994:WBZ852007 WLV851994:WLV852007 WVR851994:WVR852007 J917530:J917543 JF917530:JF917543 TB917530:TB917543 ACX917530:ACX917543 AMT917530:AMT917543 AWP917530:AWP917543 BGL917530:BGL917543 BQH917530:BQH917543 CAD917530:CAD917543 CJZ917530:CJZ917543 CTV917530:CTV917543 DDR917530:DDR917543 DNN917530:DNN917543 DXJ917530:DXJ917543 EHF917530:EHF917543 ERB917530:ERB917543 FAX917530:FAX917543 FKT917530:FKT917543 FUP917530:FUP917543 GEL917530:GEL917543 GOH917530:GOH917543 GYD917530:GYD917543 HHZ917530:HHZ917543 HRV917530:HRV917543 IBR917530:IBR917543 ILN917530:ILN917543 IVJ917530:IVJ917543 JFF917530:JFF917543 JPB917530:JPB917543 JYX917530:JYX917543 KIT917530:KIT917543 KSP917530:KSP917543 LCL917530:LCL917543 LMH917530:LMH917543 LWD917530:LWD917543 MFZ917530:MFZ917543 MPV917530:MPV917543 MZR917530:MZR917543 NJN917530:NJN917543 NTJ917530:NTJ917543 ODF917530:ODF917543 ONB917530:ONB917543 OWX917530:OWX917543 PGT917530:PGT917543 PQP917530:PQP917543 QAL917530:QAL917543 QKH917530:QKH917543 QUD917530:QUD917543 RDZ917530:RDZ917543 RNV917530:RNV917543 RXR917530:RXR917543 SHN917530:SHN917543 SRJ917530:SRJ917543 TBF917530:TBF917543 TLB917530:TLB917543 TUX917530:TUX917543 UET917530:UET917543 UOP917530:UOP917543 UYL917530:UYL917543 VIH917530:VIH917543 VSD917530:VSD917543 WBZ917530:WBZ917543 WLV917530:WLV917543 WVR917530:WVR917543 J983066:J983079 JF983066:JF983079 TB983066:TB983079 ACX983066:ACX983079 AMT983066:AMT983079 AWP983066:AWP983079 BGL983066:BGL983079 BQH983066:BQH983079 CAD983066:CAD983079 CJZ983066:CJZ983079 CTV983066:CTV983079 DDR983066:DDR983079 DNN983066:DNN983079 DXJ983066:DXJ983079 EHF983066:EHF983079 ERB983066:ERB983079 FAX983066:FAX983079 FKT983066:FKT983079 FUP983066:FUP983079 GEL983066:GEL983079 GOH983066:GOH983079 GYD983066:GYD983079 HHZ983066:HHZ983079 HRV983066:HRV983079 IBR983066:IBR983079 ILN983066:ILN983079 IVJ983066:IVJ983079 JFF983066:JFF983079 JPB983066:JPB983079 JYX983066:JYX983079 KIT983066:KIT983079 KSP983066:KSP983079 LCL983066:LCL983079 LMH983066:LMH983079 LWD983066:LWD983079 MFZ983066:MFZ983079 MPV983066:MPV983079 MZR983066:MZR983079 NJN983066:NJN983079 NTJ983066:NTJ983079 ODF983066:ODF983079 ONB983066:ONB983079 OWX983066:OWX983079 PGT983066:PGT983079 PQP983066:PQP983079 QAL983066:QAL983079 QKH983066:QKH983079 QUD983066:QUD983079 RDZ983066:RDZ983079 RNV983066:RNV983079 RXR983066:RXR983079 SHN983066:SHN983079 SRJ983066:SRJ983079 TBF983066:TBF983079 TLB983066:TLB983079 TUX983066:TUX983079 UET983066:UET983079 UOP983066:UOP983079 UYL983066:UYL983079 VIH983066:VIH983079 VSD983066:VSD983079 WBZ983066:WBZ983079 WLV983066:WLV983079 WVR983066:WVR983079 JF27:JF40 J65577:J65591 JF65577:JF65591 TB65577:TB65591 ACX65577:ACX65591 AMT65577:AMT65591 AWP65577:AWP65591 BGL65577:BGL65591 BQH65577:BQH65591 CAD65577:CAD65591 CJZ65577:CJZ65591 CTV65577:CTV65591 DDR65577:DDR65591 DNN65577:DNN65591 DXJ65577:DXJ65591 EHF65577:EHF65591 ERB65577:ERB65591 FAX65577:FAX65591 FKT65577:FKT65591 FUP65577:FUP65591 GEL65577:GEL65591 GOH65577:GOH65591 GYD65577:GYD65591 HHZ65577:HHZ65591 HRV65577:HRV65591 IBR65577:IBR65591 ILN65577:ILN65591 IVJ65577:IVJ65591 JFF65577:JFF65591 JPB65577:JPB65591 JYX65577:JYX65591 KIT65577:KIT65591 KSP65577:KSP65591 LCL65577:LCL65591 LMH65577:LMH65591 LWD65577:LWD65591 MFZ65577:MFZ65591 MPV65577:MPV65591 MZR65577:MZR65591 NJN65577:NJN65591 NTJ65577:NTJ65591 ODF65577:ODF65591 ONB65577:ONB65591 OWX65577:OWX65591 PGT65577:PGT65591 PQP65577:PQP65591 QAL65577:QAL65591 QKH65577:QKH65591 QUD65577:QUD65591 RDZ65577:RDZ65591 RNV65577:RNV65591 RXR65577:RXR65591 SHN65577:SHN65591 SRJ65577:SRJ65591 TBF65577:TBF65591 TLB65577:TLB65591 TUX65577:TUX65591 UET65577:UET65591 UOP65577:UOP65591 UYL65577:UYL65591 VIH65577:VIH65591 VSD65577:VSD65591 WBZ65577:WBZ65591 WLV65577:WLV65591 WVR65577:WVR65591 J131113:J131127 JF131113:JF131127 TB131113:TB131127 ACX131113:ACX131127 AMT131113:AMT131127 AWP131113:AWP131127 BGL131113:BGL131127 BQH131113:BQH131127 CAD131113:CAD131127 CJZ131113:CJZ131127 CTV131113:CTV131127 DDR131113:DDR131127 DNN131113:DNN131127 DXJ131113:DXJ131127 EHF131113:EHF131127 ERB131113:ERB131127 FAX131113:FAX131127 FKT131113:FKT131127 FUP131113:FUP131127 GEL131113:GEL131127 GOH131113:GOH131127 GYD131113:GYD131127 HHZ131113:HHZ131127 HRV131113:HRV131127 IBR131113:IBR131127 ILN131113:ILN131127 IVJ131113:IVJ131127 JFF131113:JFF131127 JPB131113:JPB131127 JYX131113:JYX131127 KIT131113:KIT131127 KSP131113:KSP131127 LCL131113:LCL131127 LMH131113:LMH131127 LWD131113:LWD131127 MFZ131113:MFZ131127 MPV131113:MPV131127 MZR131113:MZR131127 NJN131113:NJN131127 NTJ131113:NTJ131127 ODF131113:ODF131127 ONB131113:ONB131127 OWX131113:OWX131127 PGT131113:PGT131127 PQP131113:PQP131127 QAL131113:QAL131127 QKH131113:QKH131127 QUD131113:QUD131127 RDZ131113:RDZ131127 RNV131113:RNV131127 RXR131113:RXR131127 SHN131113:SHN131127 SRJ131113:SRJ131127 TBF131113:TBF131127 TLB131113:TLB131127 TUX131113:TUX131127 UET131113:UET131127 UOP131113:UOP131127 UYL131113:UYL131127 VIH131113:VIH131127 VSD131113:VSD131127 WBZ131113:WBZ131127 WLV131113:WLV131127 WVR131113:WVR131127 J196649:J196663 JF196649:JF196663 TB196649:TB196663 ACX196649:ACX196663 AMT196649:AMT196663 AWP196649:AWP196663 BGL196649:BGL196663 BQH196649:BQH196663 CAD196649:CAD196663 CJZ196649:CJZ196663 CTV196649:CTV196663 DDR196649:DDR196663 DNN196649:DNN196663 DXJ196649:DXJ196663 EHF196649:EHF196663 ERB196649:ERB196663 FAX196649:FAX196663 FKT196649:FKT196663 FUP196649:FUP196663 GEL196649:GEL196663 GOH196649:GOH196663 GYD196649:GYD196663 HHZ196649:HHZ196663 HRV196649:HRV196663 IBR196649:IBR196663 ILN196649:ILN196663 IVJ196649:IVJ196663 JFF196649:JFF196663 JPB196649:JPB196663 JYX196649:JYX196663 KIT196649:KIT196663 KSP196649:KSP196663 LCL196649:LCL196663 LMH196649:LMH196663 LWD196649:LWD196663 MFZ196649:MFZ196663 MPV196649:MPV196663 MZR196649:MZR196663 NJN196649:NJN196663 NTJ196649:NTJ196663 ODF196649:ODF196663 ONB196649:ONB196663 OWX196649:OWX196663 PGT196649:PGT196663 PQP196649:PQP196663 QAL196649:QAL196663 QKH196649:QKH196663 QUD196649:QUD196663 RDZ196649:RDZ196663 RNV196649:RNV196663 RXR196649:RXR196663 SHN196649:SHN196663 SRJ196649:SRJ196663 TBF196649:TBF196663 TLB196649:TLB196663 TUX196649:TUX196663 UET196649:UET196663 UOP196649:UOP196663 UYL196649:UYL196663 VIH196649:VIH196663 VSD196649:VSD196663 WBZ196649:WBZ196663 WLV196649:WLV196663 WVR196649:WVR196663 J262185:J262199 JF262185:JF262199 TB262185:TB262199 ACX262185:ACX262199 AMT262185:AMT262199 AWP262185:AWP262199 BGL262185:BGL262199 BQH262185:BQH262199 CAD262185:CAD262199 CJZ262185:CJZ262199 CTV262185:CTV262199 DDR262185:DDR262199 DNN262185:DNN262199 DXJ262185:DXJ262199 EHF262185:EHF262199 ERB262185:ERB262199 FAX262185:FAX262199 FKT262185:FKT262199 FUP262185:FUP262199 GEL262185:GEL262199 GOH262185:GOH262199 GYD262185:GYD262199 HHZ262185:HHZ262199 HRV262185:HRV262199 IBR262185:IBR262199 ILN262185:ILN262199 IVJ262185:IVJ262199 JFF262185:JFF262199 JPB262185:JPB262199 JYX262185:JYX262199 KIT262185:KIT262199 KSP262185:KSP262199 LCL262185:LCL262199 LMH262185:LMH262199 LWD262185:LWD262199 MFZ262185:MFZ262199 MPV262185:MPV262199 MZR262185:MZR262199 NJN262185:NJN262199 NTJ262185:NTJ262199 ODF262185:ODF262199 ONB262185:ONB262199 OWX262185:OWX262199 PGT262185:PGT262199 PQP262185:PQP262199 QAL262185:QAL262199 QKH262185:QKH262199 QUD262185:QUD262199 RDZ262185:RDZ262199 RNV262185:RNV262199 RXR262185:RXR262199 SHN262185:SHN262199 SRJ262185:SRJ262199 TBF262185:TBF262199 TLB262185:TLB262199 TUX262185:TUX262199 UET262185:UET262199 UOP262185:UOP262199 UYL262185:UYL262199 VIH262185:VIH262199 VSD262185:VSD262199 WBZ262185:WBZ262199 WLV262185:WLV262199 WVR262185:WVR262199 J327721:J327735 JF327721:JF327735 TB327721:TB327735 ACX327721:ACX327735 AMT327721:AMT327735 AWP327721:AWP327735 BGL327721:BGL327735 BQH327721:BQH327735 CAD327721:CAD327735 CJZ327721:CJZ327735 CTV327721:CTV327735 DDR327721:DDR327735 DNN327721:DNN327735 DXJ327721:DXJ327735 EHF327721:EHF327735 ERB327721:ERB327735 FAX327721:FAX327735 FKT327721:FKT327735 FUP327721:FUP327735 GEL327721:GEL327735 GOH327721:GOH327735 GYD327721:GYD327735 HHZ327721:HHZ327735 HRV327721:HRV327735 IBR327721:IBR327735 ILN327721:ILN327735 IVJ327721:IVJ327735 JFF327721:JFF327735 JPB327721:JPB327735 JYX327721:JYX327735 KIT327721:KIT327735 KSP327721:KSP327735 LCL327721:LCL327735 LMH327721:LMH327735 LWD327721:LWD327735 MFZ327721:MFZ327735 MPV327721:MPV327735 MZR327721:MZR327735 NJN327721:NJN327735 NTJ327721:NTJ327735 ODF327721:ODF327735 ONB327721:ONB327735 OWX327721:OWX327735 PGT327721:PGT327735 PQP327721:PQP327735 QAL327721:QAL327735 QKH327721:QKH327735 QUD327721:QUD327735 RDZ327721:RDZ327735 RNV327721:RNV327735 RXR327721:RXR327735 SHN327721:SHN327735 SRJ327721:SRJ327735 TBF327721:TBF327735 TLB327721:TLB327735 TUX327721:TUX327735 UET327721:UET327735 UOP327721:UOP327735 UYL327721:UYL327735 VIH327721:VIH327735 VSD327721:VSD327735 WBZ327721:WBZ327735 WLV327721:WLV327735 WVR327721:WVR327735 J393257:J393271 JF393257:JF393271 TB393257:TB393271 ACX393257:ACX393271 AMT393257:AMT393271 AWP393257:AWP393271 BGL393257:BGL393271 BQH393257:BQH393271 CAD393257:CAD393271 CJZ393257:CJZ393271 CTV393257:CTV393271 DDR393257:DDR393271 DNN393257:DNN393271 DXJ393257:DXJ393271 EHF393257:EHF393271 ERB393257:ERB393271 FAX393257:FAX393271 FKT393257:FKT393271 FUP393257:FUP393271 GEL393257:GEL393271 GOH393257:GOH393271 GYD393257:GYD393271 HHZ393257:HHZ393271 HRV393257:HRV393271 IBR393257:IBR393271 ILN393257:ILN393271 IVJ393257:IVJ393271 JFF393257:JFF393271 JPB393257:JPB393271 JYX393257:JYX393271 KIT393257:KIT393271 KSP393257:KSP393271 LCL393257:LCL393271 LMH393257:LMH393271 LWD393257:LWD393271 MFZ393257:MFZ393271 MPV393257:MPV393271 MZR393257:MZR393271 NJN393257:NJN393271 NTJ393257:NTJ393271 ODF393257:ODF393271 ONB393257:ONB393271 OWX393257:OWX393271 PGT393257:PGT393271 PQP393257:PQP393271 QAL393257:QAL393271 QKH393257:QKH393271 QUD393257:QUD393271 RDZ393257:RDZ393271 RNV393257:RNV393271 RXR393257:RXR393271 SHN393257:SHN393271 SRJ393257:SRJ393271 TBF393257:TBF393271 TLB393257:TLB393271 TUX393257:TUX393271 UET393257:UET393271 UOP393257:UOP393271 UYL393257:UYL393271 VIH393257:VIH393271 VSD393257:VSD393271 WBZ393257:WBZ393271 WLV393257:WLV393271 WVR393257:WVR393271 J458793:J458807 JF458793:JF458807 TB458793:TB458807 ACX458793:ACX458807 AMT458793:AMT458807 AWP458793:AWP458807 BGL458793:BGL458807 BQH458793:BQH458807 CAD458793:CAD458807 CJZ458793:CJZ458807 CTV458793:CTV458807 DDR458793:DDR458807 DNN458793:DNN458807 DXJ458793:DXJ458807 EHF458793:EHF458807 ERB458793:ERB458807 FAX458793:FAX458807 FKT458793:FKT458807 FUP458793:FUP458807 GEL458793:GEL458807 GOH458793:GOH458807 GYD458793:GYD458807 HHZ458793:HHZ458807 HRV458793:HRV458807 IBR458793:IBR458807 ILN458793:ILN458807 IVJ458793:IVJ458807 JFF458793:JFF458807 JPB458793:JPB458807 JYX458793:JYX458807 KIT458793:KIT458807 KSP458793:KSP458807 LCL458793:LCL458807 LMH458793:LMH458807 LWD458793:LWD458807 MFZ458793:MFZ458807 MPV458793:MPV458807 MZR458793:MZR458807 NJN458793:NJN458807 NTJ458793:NTJ458807 ODF458793:ODF458807 ONB458793:ONB458807 OWX458793:OWX458807 PGT458793:PGT458807 PQP458793:PQP458807 QAL458793:QAL458807 QKH458793:QKH458807 QUD458793:QUD458807 RDZ458793:RDZ458807 RNV458793:RNV458807 RXR458793:RXR458807 SHN458793:SHN458807 SRJ458793:SRJ458807 TBF458793:TBF458807 TLB458793:TLB458807 TUX458793:TUX458807 UET458793:UET458807 UOP458793:UOP458807 UYL458793:UYL458807 VIH458793:VIH458807 VSD458793:VSD458807 WBZ458793:WBZ458807 WLV458793:WLV458807 WVR458793:WVR458807 J524329:J524343 JF524329:JF524343 TB524329:TB524343 ACX524329:ACX524343 AMT524329:AMT524343 AWP524329:AWP524343 BGL524329:BGL524343 BQH524329:BQH524343 CAD524329:CAD524343 CJZ524329:CJZ524343 CTV524329:CTV524343 DDR524329:DDR524343 DNN524329:DNN524343 DXJ524329:DXJ524343 EHF524329:EHF524343 ERB524329:ERB524343 FAX524329:FAX524343 FKT524329:FKT524343 FUP524329:FUP524343 GEL524329:GEL524343 GOH524329:GOH524343 GYD524329:GYD524343 HHZ524329:HHZ524343 HRV524329:HRV524343 IBR524329:IBR524343 ILN524329:ILN524343 IVJ524329:IVJ524343 JFF524329:JFF524343 JPB524329:JPB524343 JYX524329:JYX524343 KIT524329:KIT524343 KSP524329:KSP524343 LCL524329:LCL524343 LMH524329:LMH524343 LWD524329:LWD524343 MFZ524329:MFZ524343 MPV524329:MPV524343 MZR524329:MZR524343 NJN524329:NJN524343 NTJ524329:NTJ524343 ODF524329:ODF524343 ONB524329:ONB524343 OWX524329:OWX524343 PGT524329:PGT524343 PQP524329:PQP524343 QAL524329:QAL524343 QKH524329:QKH524343 QUD524329:QUD524343 RDZ524329:RDZ524343 RNV524329:RNV524343 RXR524329:RXR524343 SHN524329:SHN524343 SRJ524329:SRJ524343 TBF524329:TBF524343 TLB524329:TLB524343 TUX524329:TUX524343 UET524329:UET524343 UOP524329:UOP524343 UYL524329:UYL524343 VIH524329:VIH524343 VSD524329:VSD524343 WBZ524329:WBZ524343 WLV524329:WLV524343 WVR524329:WVR524343 J589865:J589879 JF589865:JF589879 TB589865:TB589879 ACX589865:ACX589879 AMT589865:AMT589879 AWP589865:AWP589879 BGL589865:BGL589879 BQH589865:BQH589879 CAD589865:CAD589879 CJZ589865:CJZ589879 CTV589865:CTV589879 DDR589865:DDR589879 DNN589865:DNN589879 DXJ589865:DXJ589879 EHF589865:EHF589879 ERB589865:ERB589879 FAX589865:FAX589879 FKT589865:FKT589879 FUP589865:FUP589879 GEL589865:GEL589879 GOH589865:GOH589879 GYD589865:GYD589879 HHZ589865:HHZ589879 HRV589865:HRV589879 IBR589865:IBR589879 ILN589865:ILN589879 IVJ589865:IVJ589879 JFF589865:JFF589879 JPB589865:JPB589879 JYX589865:JYX589879 KIT589865:KIT589879 KSP589865:KSP589879 LCL589865:LCL589879 LMH589865:LMH589879 LWD589865:LWD589879 MFZ589865:MFZ589879 MPV589865:MPV589879 MZR589865:MZR589879 NJN589865:NJN589879 NTJ589865:NTJ589879 ODF589865:ODF589879 ONB589865:ONB589879 OWX589865:OWX589879 PGT589865:PGT589879 PQP589865:PQP589879 QAL589865:QAL589879 QKH589865:QKH589879 QUD589865:QUD589879 RDZ589865:RDZ589879 RNV589865:RNV589879 RXR589865:RXR589879 SHN589865:SHN589879 SRJ589865:SRJ589879 TBF589865:TBF589879 TLB589865:TLB589879 TUX589865:TUX589879 UET589865:UET589879 UOP589865:UOP589879 UYL589865:UYL589879 VIH589865:VIH589879 VSD589865:VSD589879 WBZ589865:WBZ589879 WLV589865:WLV589879 WVR589865:WVR589879 J655401:J655415 JF655401:JF655415 TB655401:TB655415 ACX655401:ACX655415 AMT655401:AMT655415 AWP655401:AWP655415 BGL655401:BGL655415 BQH655401:BQH655415 CAD655401:CAD655415 CJZ655401:CJZ655415 CTV655401:CTV655415 DDR655401:DDR655415 DNN655401:DNN655415 DXJ655401:DXJ655415 EHF655401:EHF655415 ERB655401:ERB655415 FAX655401:FAX655415 FKT655401:FKT655415 FUP655401:FUP655415 GEL655401:GEL655415 GOH655401:GOH655415 GYD655401:GYD655415 HHZ655401:HHZ655415 HRV655401:HRV655415 IBR655401:IBR655415 ILN655401:ILN655415 IVJ655401:IVJ655415 JFF655401:JFF655415 JPB655401:JPB655415 JYX655401:JYX655415 KIT655401:KIT655415 KSP655401:KSP655415 LCL655401:LCL655415 LMH655401:LMH655415 LWD655401:LWD655415 MFZ655401:MFZ655415 MPV655401:MPV655415 MZR655401:MZR655415 NJN655401:NJN655415 NTJ655401:NTJ655415 ODF655401:ODF655415 ONB655401:ONB655415 OWX655401:OWX655415 PGT655401:PGT655415 PQP655401:PQP655415 QAL655401:QAL655415 QKH655401:QKH655415 QUD655401:QUD655415 RDZ655401:RDZ655415 RNV655401:RNV655415 RXR655401:RXR655415 SHN655401:SHN655415 SRJ655401:SRJ655415 TBF655401:TBF655415 TLB655401:TLB655415 TUX655401:TUX655415 UET655401:UET655415 UOP655401:UOP655415 UYL655401:UYL655415 VIH655401:VIH655415 VSD655401:VSD655415 WBZ655401:WBZ655415 WLV655401:WLV655415 WVR655401:WVR655415 J720937:J720951 JF720937:JF720951 TB720937:TB720951 ACX720937:ACX720951 AMT720937:AMT720951 AWP720937:AWP720951 BGL720937:BGL720951 BQH720937:BQH720951 CAD720937:CAD720951 CJZ720937:CJZ720951 CTV720937:CTV720951 DDR720937:DDR720951 DNN720937:DNN720951 DXJ720937:DXJ720951 EHF720937:EHF720951 ERB720937:ERB720951 FAX720937:FAX720951 FKT720937:FKT720951 FUP720937:FUP720951 GEL720937:GEL720951 GOH720937:GOH720951 GYD720937:GYD720951 HHZ720937:HHZ720951 HRV720937:HRV720951 IBR720937:IBR720951 ILN720937:ILN720951 IVJ720937:IVJ720951 JFF720937:JFF720951 JPB720937:JPB720951 JYX720937:JYX720951 KIT720937:KIT720951 KSP720937:KSP720951 LCL720937:LCL720951 LMH720937:LMH720951 LWD720937:LWD720951 MFZ720937:MFZ720951 MPV720937:MPV720951 MZR720937:MZR720951 NJN720937:NJN720951 NTJ720937:NTJ720951 ODF720937:ODF720951 ONB720937:ONB720951 OWX720937:OWX720951 PGT720937:PGT720951 PQP720937:PQP720951 QAL720937:QAL720951 QKH720937:QKH720951 QUD720937:QUD720951 RDZ720937:RDZ720951 RNV720937:RNV720951 RXR720937:RXR720951 SHN720937:SHN720951 SRJ720937:SRJ720951 TBF720937:TBF720951 TLB720937:TLB720951 TUX720937:TUX720951 UET720937:UET720951 UOP720937:UOP720951 UYL720937:UYL720951 VIH720937:VIH720951 VSD720937:VSD720951 WBZ720937:WBZ720951 WLV720937:WLV720951 WVR720937:WVR720951 J786473:J786487 JF786473:JF786487 TB786473:TB786487 ACX786473:ACX786487 AMT786473:AMT786487 AWP786473:AWP786487 BGL786473:BGL786487 BQH786473:BQH786487 CAD786473:CAD786487 CJZ786473:CJZ786487 CTV786473:CTV786487 DDR786473:DDR786487 DNN786473:DNN786487 DXJ786473:DXJ786487 EHF786473:EHF786487 ERB786473:ERB786487 FAX786473:FAX786487 FKT786473:FKT786487 FUP786473:FUP786487 GEL786473:GEL786487 GOH786473:GOH786487 GYD786473:GYD786487 HHZ786473:HHZ786487 HRV786473:HRV786487 IBR786473:IBR786487 ILN786473:ILN786487 IVJ786473:IVJ786487 JFF786473:JFF786487 JPB786473:JPB786487 JYX786473:JYX786487 KIT786473:KIT786487 KSP786473:KSP786487 LCL786473:LCL786487 LMH786473:LMH786487 LWD786473:LWD786487 MFZ786473:MFZ786487 MPV786473:MPV786487 MZR786473:MZR786487 NJN786473:NJN786487 NTJ786473:NTJ786487 ODF786473:ODF786487 ONB786473:ONB786487 OWX786473:OWX786487 PGT786473:PGT786487 PQP786473:PQP786487 QAL786473:QAL786487 QKH786473:QKH786487 QUD786473:QUD786487 RDZ786473:RDZ786487 RNV786473:RNV786487 RXR786473:RXR786487 SHN786473:SHN786487 SRJ786473:SRJ786487 TBF786473:TBF786487 TLB786473:TLB786487 TUX786473:TUX786487 UET786473:UET786487 UOP786473:UOP786487 UYL786473:UYL786487 VIH786473:VIH786487 VSD786473:VSD786487 WBZ786473:WBZ786487 WLV786473:WLV786487 WVR786473:WVR786487 J852009:J852023 JF852009:JF852023 TB852009:TB852023 ACX852009:ACX852023 AMT852009:AMT852023 AWP852009:AWP852023 BGL852009:BGL852023 BQH852009:BQH852023 CAD852009:CAD852023 CJZ852009:CJZ852023 CTV852009:CTV852023 DDR852009:DDR852023 DNN852009:DNN852023 DXJ852009:DXJ852023 EHF852009:EHF852023 ERB852009:ERB852023 FAX852009:FAX852023 FKT852009:FKT852023 FUP852009:FUP852023 GEL852009:GEL852023 GOH852009:GOH852023 GYD852009:GYD852023 HHZ852009:HHZ852023 HRV852009:HRV852023 IBR852009:IBR852023 ILN852009:ILN852023 IVJ852009:IVJ852023 JFF852009:JFF852023 JPB852009:JPB852023 JYX852009:JYX852023 KIT852009:KIT852023 KSP852009:KSP852023 LCL852009:LCL852023 LMH852009:LMH852023 LWD852009:LWD852023 MFZ852009:MFZ852023 MPV852009:MPV852023 MZR852009:MZR852023 NJN852009:NJN852023 NTJ852009:NTJ852023 ODF852009:ODF852023 ONB852009:ONB852023 OWX852009:OWX852023 PGT852009:PGT852023 PQP852009:PQP852023 QAL852009:QAL852023 QKH852009:QKH852023 QUD852009:QUD852023 RDZ852009:RDZ852023 RNV852009:RNV852023 RXR852009:RXR852023 SHN852009:SHN852023 SRJ852009:SRJ852023 TBF852009:TBF852023 TLB852009:TLB852023 TUX852009:TUX852023 UET852009:UET852023 UOP852009:UOP852023 UYL852009:UYL852023 VIH852009:VIH852023 VSD852009:VSD852023 WBZ852009:WBZ852023 WLV852009:WLV852023 WVR852009:WVR852023 J917545:J917559 JF917545:JF917559 TB917545:TB917559 ACX917545:ACX917559 AMT917545:AMT917559 AWP917545:AWP917559 BGL917545:BGL917559 BQH917545:BQH917559 CAD917545:CAD917559 CJZ917545:CJZ917559 CTV917545:CTV917559 DDR917545:DDR917559 DNN917545:DNN917559 DXJ917545:DXJ917559 EHF917545:EHF917559 ERB917545:ERB917559 FAX917545:FAX917559 FKT917545:FKT917559 FUP917545:FUP917559 GEL917545:GEL917559 GOH917545:GOH917559 GYD917545:GYD917559 HHZ917545:HHZ917559 HRV917545:HRV917559 IBR917545:IBR917559 ILN917545:ILN917559 IVJ917545:IVJ917559 JFF917545:JFF917559 JPB917545:JPB917559 JYX917545:JYX917559 KIT917545:KIT917559 KSP917545:KSP917559 LCL917545:LCL917559 LMH917545:LMH917559 LWD917545:LWD917559 MFZ917545:MFZ917559 MPV917545:MPV917559 MZR917545:MZR917559 NJN917545:NJN917559 NTJ917545:NTJ917559 ODF917545:ODF917559 ONB917545:ONB917559 OWX917545:OWX917559 PGT917545:PGT917559 PQP917545:PQP917559 QAL917545:QAL917559 QKH917545:QKH917559 QUD917545:QUD917559 RDZ917545:RDZ917559 RNV917545:RNV917559 RXR917545:RXR917559 SHN917545:SHN917559 SRJ917545:SRJ917559 TBF917545:TBF917559 TLB917545:TLB917559 TUX917545:TUX917559 UET917545:UET917559 UOP917545:UOP917559 UYL917545:UYL917559 VIH917545:VIH917559 VSD917545:VSD917559 WBZ917545:WBZ917559 WLV917545:WLV917559 WVR917545:WVR917559 J983081:J983095 JF983081:JF983095 TB983081:TB983095 ACX983081:ACX983095 AMT983081:AMT983095 AWP983081:AWP983095 BGL983081:BGL983095 BQH983081:BQH983095 CAD983081:CAD983095 CJZ983081:CJZ983095 CTV983081:CTV983095 DDR983081:DDR983095 DNN983081:DNN983095 DXJ983081:DXJ983095 EHF983081:EHF983095 ERB983081:ERB983095 FAX983081:FAX983095 FKT983081:FKT983095 FUP983081:FUP983095 GEL983081:GEL983095 GOH983081:GOH983095 GYD983081:GYD983095 HHZ983081:HHZ983095 HRV983081:HRV983095 IBR983081:IBR983095 ILN983081:ILN983095 IVJ983081:IVJ983095 JFF983081:JFF983095 JPB983081:JPB983095 JYX983081:JYX983095 KIT983081:KIT983095 KSP983081:KSP983095 LCL983081:LCL983095 LMH983081:LMH983095 LWD983081:LWD983095 MFZ983081:MFZ983095 MPV983081:MPV983095 MZR983081:MZR983095 NJN983081:NJN983095 NTJ983081:NTJ983095 ODF983081:ODF983095 ONB983081:ONB983095 OWX983081:OWX983095 PGT983081:PGT983095 PQP983081:PQP983095 QAL983081:QAL983095 QKH983081:QKH983095 QUD983081:QUD983095 RDZ983081:RDZ983095 RNV983081:RNV983095 RXR983081:RXR983095 SHN983081:SHN983095 SRJ983081:SRJ983095 TBF983081:TBF983095 TLB983081:TLB983095 TUX983081:TUX983095 UET983081:UET983095 UOP983081:UOP983095 UYL983081:UYL983095 VIH983081:VIH983095 VSD983081:VSD983095 WBZ983081:WBZ983095 WLV983081:WLV983095 JF42:JF56 TB42:TB56 ACX42:ACX56 AMT42:AMT56 AWP42:AWP56 BGL42:BGL56 BQH42:BQH56 CAD42:CAD56 CJZ42:CJZ56 CTV42:CTV56 DDR42:DDR56 DNN42:DNN56 DXJ42:DXJ56 EHF42:EHF56 ERB42:ERB56 FAX42:FAX56 FKT42:FKT56 FUP42:FUP56 GEL42:GEL56 GOH42:GOH56 GYD42:GYD56 HHZ42:HHZ56 HRV42:HRV56 IBR42:IBR56 ILN42:ILN56 IVJ42:IVJ56 JFF42:JFF56 JPB42:JPB56 JYX42:JYX56 KIT42:KIT56 KSP42:KSP56 LCL42:LCL56 LMH42:LMH56 LWD42:LWD56 MFZ42:MFZ56 MPV42:MPV56 MZR42:MZR56 NJN42:NJN56 NTJ42:NTJ56 ODF42:ODF56 ONB42:ONB56 OWX42:OWX56 PGT42:PGT56 PQP42:PQP56 QAL42:QAL56 QKH42:QKH56 QUD42:QUD56 RDZ42:RDZ56 RNV42:RNV56 RXR42:RXR56 SHN42:SHN56 SRJ42:SRJ56 TBF42:TBF56 TLB42:TLB56 TUX42:TUX56 UET42:UET56 UOP42:UOP56 UYL42:UYL56 VIH42:VIH56 VSD42:VSD56 WBZ42:WBZ56 WLV42:WLV56 WVR42:WVR56 ACX27:ACX40 TB27:TB40 WVR27:WVR40 WLV27:WLV40 WBZ27:WBZ40 VSD27:VSD40 VIH27:VIH40 UYL27:UYL40 UOP27:UOP40 UET27:UET40 TUX27:TUX40 TLB27:TLB40 TBF27:TBF40 SRJ27:SRJ40 SHN27:SHN40 RXR27:RXR40 RNV27:RNV40 RDZ27:RDZ40 QUD27:QUD40 QKH27:QKH40 QAL27:QAL40 PQP27:PQP40 PGT27:PGT40 OWX27:OWX40 ONB27:ONB40 ODF27:ODF40 NTJ27:NTJ40 NJN27:NJN40 MZR27:MZR40 MPV27:MPV40 MFZ27:MFZ40 LWD27:LWD40 LMH27:LMH40 LCL27:LCL40 KSP27:KSP40 KIT27:KIT40 JYX27:JYX40 JPB27:JPB40 JFF27:JFF40 IVJ27:IVJ40 ILN27:ILN40 IBR27:IBR40 HRV27:HRV40 HHZ27:HHZ40 GYD27:GYD40 GOH27:GOH40 GEL27:GEL40 FUP27:FUP40 FKT27:FKT40 FAX27:FAX40 ERB27:ERB40 EHF27:EHF40 DXJ27:DXJ40 DNN27:DNN40 DDR27:DDR40 CTV27:CTV40 CJZ27:CJZ40 CAD27:CAD40 BQH27:BQH40 BGL27:BGL40 AWP27:AWP40" xr:uid="{E0C8AFE4-C172-4F50-BBE0-21016CF91D82}">
      <formula1>"Y,N,N/A"</formula1>
    </dataValidation>
  </dataValidations>
  <printOptions horizontalCentered="1"/>
  <pageMargins left="0.39370078740157483" right="0.39370078740157483" top="0.59055118110236227" bottom="0.59055118110236227" header="0.39370078740157483" footer="0.39370078740157483"/>
  <pageSetup paperSize="9" scale="19" fitToHeight="9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23</vt:i4>
      </vt:variant>
      <vt:variant>
        <vt:lpstr>이름 지정된 범위</vt:lpstr>
      </vt:variant>
      <vt:variant>
        <vt:i4>1</vt:i4>
      </vt:variant>
    </vt:vector>
  </HeadingPairs>
  <TitlesOfParts>
    <vt:vector size="24" baseType="lpstr">
      <vt:lpstr>표지</vt:lpstr>
      <vt:lpstr>자산목록</vt:lpstr>
      <vt:lpstr>ChkList</vt:lpstr>
      <vt:lpstr>통계</vt:lpstr>
      <vt:lpstr>항목별 통계</vt:lpstr>
      <vt:lpstr>U_001</vt:lpstr>
      <vt:lpstr>U_002</vt:lpstr>
      <vt:lpstr>U_003</vt:lpstr>
      <vt:lpstr>U_004</vt:lpstr>
      <vt:lpstr>U_005</vt:lpstr>
      <vt:lpstr>U_006</vt:lpstr>
      <vt:lpstr>U_007</vt:lpstr>
      <vt:lpstr>U_008</vt:lpstr>
      <vt:lpstr>U_009</vt:lpstr>
      <vt:lpstr>U_010</vt:lpstr>
      <vt:lpstr>U_011</vt:lpstr>
      <vt:lpstr>U_012</vt:lpstr>
      <vt:lpstr>U_013</vt:lpstr>
      <vt:lpstr>U_014</vt:lpstr>
      <vt:lpstr>U_015</vt:lpstr>
      <vt:lpstr>U_016</vt:lpstr>
      <vt:lpstr>U_017</vt:lpstr>
      <vt:lpstr>U_018</vt:lpstr>
      <vt:lpstr>표지!Print_Area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2023-11-29T01:12:51Z</dcterms:modified>
</cp:coreProperties>
</file>